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ырые ответы" sheetId="2" state="visible" r:id="rId2"/>
    <sheet xmlns:r="http://schemas.openxmlformats.org/officeDocument/2006/relationships" name="Карта вопросов" sheetId="3" state="visible" r:id="rId3"/>
    <sheet xmlns:r="http://schemas.openxmlformats.org/officeDocument/2006/relationships" name="Дашборд" sheetId="4" state="visible" r:id="rId4"/>
    <sheet xmlns:r="http://schemas.openxmlformats.org/officeDocument/2006/relationships" name="Шкалы" sheetId="5" state="visible" r:id="rId5"/>
    <sheet xmlns:r="http://schemas.openxmlformats.org/officeDocument/2006/relationships" name="Взаимодействие ЦО" sheetId="6" state="visible" r:id="rId6"/>
    <sheet xmlns:r="http://schemas.openxmlformats.org/officeDocument/2006/relationships" name="Распределения" sheetId="7" state="visible" r:id="rId7"/>
    <sheet xmlns:r="http://schemas.openxmlformats.org/officeDocument/2006/relationships" name="ТОП боли" sheetId="8" state="visible" r:id="rId8"/>
    <sheet xmlns:r="http://schemas.openxmlformats.org/officeDocument/2006/relationships" name="Интервь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color rgb="00000000"/>
      <sz val="11"/>
    </font>
    <font>
      <b val="1"/>
      <color rgb="001F4E79"/>
      <sz val="12"/>
    </font>
    <font>
      <b val="1"/>
      <color rgb="00FFFFFF"/>
      <sz val="10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164" fontId="0" fillId="0" borderId="0" pivotButton="0" quotePrefix="0" xfId="0"/>
    <xf numFmtId="2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Средние оценки взаимодействия с ЦО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'Взаимодействие ЦО'!B3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'Взаимодействие ЦО'!$A$4:$A$11</f>
            </numRef>
          </cat>
          <val>
            <numRef>
              <f>'Взаимодействие ЦО'!$B$4:$B$11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Средняя оценка (1–5)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Подразделение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Анализ ответов опросника директоров филиалов — ДУП</t>
        </is>
      </c>
    </row>
    <row r="2">
      <c r="A2" s="2" t="inlineStr"/>
    </row>
    <row r="3">
      <c r="A3" s="3" t="inlineStr">
        <is>
          <t>1. Сбор ответов в Google Forms</t>
        </is>
      </c>
    </row>
    <row r="4">
      <c r="A4" s="2" t="inlineStr">
        <is>
          <t xml:space="preserve">   • Создайте форму по файлу DUP_oprosnik_Google_Forms_инструкция.md</t>
        </is>
      </c>
    </row>
    <row r="5">
      <c r="A5" s="2" t="inlineStr">
        <is>
          <t xml:space="preserve">   • В Google Forms: Ответы → Создать таблицу (Google Таблицы) ИЛИ скачать CSV (.csv)</t>
        </is>
      </c>
    </row>
    <row r="6">
      <c r="A6" s="2" t="inlineStr"/>
    </row>
    <row r="7">
      <c r="A7" s="3" t="inlineStr">
        <is>
          <t>2. Импорт в этот файл</t>
        </is>
      </c>
    </row>
    <row r="8">
      <c r="A8" s="2" t="inlineStr">
        <is>
          <t xml:space="preserve">   • Вариант A: Скопируйте все строки из Google Таблицы на лист «Сырые ответы» (начиная со строки 2, без заголовков — они уже есть)</t>
        </is>
      </c>
    </row>
    <row r="9">
      <c r="A9" s="2" t="inlineStr">
        <is>
          <t xml:space="preserve">   • Вариант B: Запустите: python3 import_survey_responses.py путь/к/ответы.csv</t>
        </is>
      </c>
    </row>
    <row r="10">
      <c r="A10" s="2" t="inlineStr">
        <is>
          <t xml:space="preserve">   • Вариант C: В Excel — Данные → Из текста/CSV → лист «Сырые ответы»</t>
        </is>
      </c>
    </row>
    <row r="11">
      <c r="A11" s="2" t="inlineStr"/>
    </row>
    <row r="12">
      <c r="A12" s="3" t="inlineStr">
        <is>
          <t>3. Автообновление сводки</t>
        </is>
      </c>
    </row>
    <row r="13">
      <c r="A13" s="2" t="inlineStr">
        <is>
          <t xml:space="preserve">   • Листы «Дашборд», «Шкалы», «Взаимодействие ЦО», «ТОП боли», «Интервью» обновляются по формулам при заполнении «Сырые ответы»</t>
        </is>
      </c>
    </row>
    <row r="14">
      <c r="A14" s="2" t="inlineStr">
        <is>
          <t xml:space="preserve">   • Красная зона: средняя оценка по шкале ≤ 2,5</t>
        </is>
      </c>
    </row>
    <row r="15">
      <c r="A15" s="2" t="inlineStr"/>
    </row>
    <row r="16">
      <c r="A16" s="3" t="inlineStr">
        <is>
          <t>4. Столбцы на листе «Сырые ответы»</t>
        </is>
      </c>
    </row>
    <row r="17">
      <c r="A17" s="2" t="inlineStr">
        <is>
          <t xml:space="preserve">   • A–D: метаданные (дата, филиал, должность, ФИО)</t>
        </is>
      </c>
    </row>
    <row r="18">
      <c r="A18" s="2" t="inlineStr">
        <is>
          <t xml:space="preserve">   • E+: ID вопроса в заголовке — вставляйте ответы в соответствующие столбцы</t>
        </is>
      </c>
    </row>
    <row r="19">
      <c r="A19" s="2" t="inlineStr">
        <is>
          <t xml:space="preserve">   • Для шкал указывайте число 1–5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</cols>
  <sheetData>
    <row r="1">
      <c r="A1" s="4" t="inlineStr">
        <is>
          <t>Дата ответа</t>
        </is>
      </c>
      <c r="B1" s="4" t="inlineStr">
        <is>
          <t>Регион/филиал</t>
        </is>
      </c>
      <c r="C1" s="4" t="inlineStr">
        <is>
          <t>Должность</t>
        </is>
      </c>
      <c r="D1" s="4" t="inlineStr">
        <is>
          <t>ФИО (опц.)</t>
        </is>
      </c>
      <c r="E1" s="4" t="inlineStr">
        <is>
          <t>A1: Ваш регион / филиал</t>
        </is>
      </c>
      <c r="F1" s="4" t="inlineStr">
        <is>
          <t>A2: Ваша должность</t>
        </is>
      </c>
      <c r="G1" s="4" t="inlineStr">
        <is>
          <t>A3: Сколько действующих проектов ГЧП/ГЗ сейчас ведёт ф</t>
        </is>
      </c>
      <c r="H1" s="4" t="inlineStr">
        <is>
          <t>A4: Сколько сотрудников в проектной/операционной коман</t>
        </is>
      </c>
      <c r="I1" s="4" t="inlineStr">
        <is>
          <t>A5: Как часто вы взаимодействуете с куратором/менеджер</t>
        </is>
      </c>
      <c r="J1" s="4" t="inlineStr">
        <is>
          <t>A6: Знаете ли вы, кто является вашим закреплённым кура</t>
        </is>
      </c>
      <c r="K1" s="4" t="inlineStr">
        <is>
          <t>B1: Насколько понятен вам процесс запуска нового проек</t>
        </is>
      </c>
      <c r="L1" s="4" t="inlineStr">
        <is>
          <t>B2: Как вы обычно получаете новый проект от ДУП / ДРБ?</t>
        </is>
      </c>
      <c r="M1" s="4" t="inlineStr">
        <is>
          <t>B3: Достаточно ли полным приходит пакет документов при</t>
        </is>
      </c>
      <c r="N1" s="4" t="inlineStr">
        <is>
          <t>B4: Какие документы чаще всего отсутствуют или приходя</t>
        </is>
      </c>
      <c r="O1" s="4" t="inlineStr">
        <is>
          <t>B5: Сколько в среднем занимает подготовка проектной до</t>
        </is>
      </c>
      <c r="P1" s="4" t="inlineStr">
        <is>
          <t>B6: Насколько сложно согласовать бюджет проекта с Финб</t>
        </is>
      </c>
      <c r="Q1" s="4" t="inlineStr">
        <is>
          <t>B7: Как часто закупочные процедуры (выше упрощённого п</t>
        </is>
      </c>
      <c r="R1" s="4" t="inlineStr">
        <is>
          <t xml:space="preserve">B8: Оцените среднюю длительность закупочной процедуры </t>
        </is>
      </c>
      <c r="S1" s="4" t="inlineStr">
        <is>
          <t>B9: Проводятся ли регулярные статус-встречи по проекта</t>
        </is>
      </c>
      <c r="T1" s="4" t="inlineStr">
        <is>
          <t>B10: Кто чаще всего инициирует и ведёт статус-встречи п</t>
        </is>
      </c>
      <c r="U1" s="4" t="inlineStr">
        <is>
          <t>B11: Опишите 1–2 типичных блокера на этапе реализации в</t>
        </is>
      </c>
      <c r="V1" s="4" t="inlineStr">
        <is>
          <t>C1: Насколько понятен процесс сопровождения действующи</t>
        </is>
      </c>
      <c r="W1" s="4" t="inlineStr">
        <is>
          <t>C2: Какие задачи сопровождения выполняет филиал самост</t>
        </is>
      </c>
      <c r="X1" s="4" t="inlineStr">
        <is>
          <t>C3: Насколько своевременно ДУП реагирует на операционн</t>
        </is>
      </c>
      <c r="Y1" s="4" t="inlineStr">
        <is>
          <t>C4: Сталкивались ли вы с ситуацией, когда продукт/обор</t>
        </is>
      </c>
      <c r="Z1" s="4" t="inlineStr">
        <is>
          <t>C5: Если да — к чему это приводило? (можно несколько)</t>
        </is>
      </c>
      <c r="AA1" s="4" t="inlineStr">
        <is>
          <t>C6: Насколько налажен процесс передачи информации о де</t>
        </is>
      </c>
      <c r="AB1" s="4" t="inlineStr">
        <is>
          <t>C7: Как часто филиал инициирует продление или модерниз</t>
        </is>
      </c>
      <c r="AC1" s="4" t="inlineStr">
        <is>
          <t xml:space="preserve">C8: Опишите главную боль в операционном сопровождении </t>
        </is>
      </c>
      <c r="AD1" s="4" t="inlineStr">
        <is>
          <t>D1: Кто в филиале формирует реестр платежей?</t>
        </is>
      </c>
      <c r="AE1" s="4" t="inlineStr">
        <is>
          <t>D2: Насколько понятен процесс приоритизации платежей (</t>
        </is>
      </c>
      <c r="AF1" s="4" t="inlineStr">
        <is>
          <t>D3: Как часто платежи по вашим заявкам задерживаются д</t>
        </is>
      </c>
      <c r="AG1" s="4" t="inlineStr">
        <is>
          <t>D4: Какова типичная причина задержки оплат? (можно нес</t>
        </is>
      </c>
      <c r="AH1" s="4" t="inlineStr">
        <is>
          <t>D5: Участвует ли филиал в прогнозе поступлений доходов</t>
        </is>
      </c>
      <c r="AI1" s="4" t="inlineStr">
        <is>
          <t xml:space="preserve">D6: Насколько удобен текущий формат обмена данными по </t>
        </is>
      </c>
      <c r="AJ1" s="4" t="inlineStr">
        <is>
          <t>D7: Сталкивались ли с ситуацией нехватки бюджета проек</t>
        </is>
      </c>
      <c r="AK1" s="4" t="inlineStr">
        <is>
          <t>D8: Если да — как решался вопрос?</t>
        </is>
      </c>
      <c r="AL1" s="4" t="inlineStr">
        <is>
          <t xml:space="preserve">E1: Насколько чётко разграничены зоны ответственности </t>
        </is>
      </c>
      <c r="AM1" s="4" t="inlineStr">
        <is>
          <t>E2: Понимаете ли вы, к кому в ДУП обращаться по разным</t>
        </is>
      </c>
      <c r="AN1" s="4" t="inlineStr">
        <is>
          <t>E3: Как вы оцениваете качество коммуникации с кураторо</t>
        </is>
      </c>
      <c r="AO1" s="4" t="inlineStr">
        <is>
          <t xml:space="preserve">E4: Какие каналы связи с ДУП используются чаще всего? </t>
        </is>
      </c>
      <c r="AP1" s="4" t="inlineStr">
        <is>
          <t>E5: Бывали ли случаи эскалации проблем в обход ДУП нап</t>
        </is>
      </c>
      <c r="AQ1" s="4" t="inlineStr">
        <is>
          <t>E6: Участвовал ли филиал в открытии нового филиала / р</t>
        </is>
      </c>
      <c r="AR1" s="4" t="inlineStr">
        <is>
          <t>E7: Если да — насколько понятен был процесс и кто коор</t>
        </is>
      </c>
      <c r="AS1" s="4" t="inlineStr">
        <is>
          <t>E8: Что бы вы улучшили во взаимодействии с ДУП в перву</t>
        </is>
      </c>
      <c r="AT1" s="4" t="inlineStr">
        <is>
          <t>F1_ДРБ: Оцените взаимодействие филиала с подразделениями (</t>
        </is>
      </c>
      <c r="AU1" s="4" t="inlineStr">
        <is>
          <t>F1_Финблок: Оцените взаимодействие филиала с подразделениями (</t>
        </is>
      </c>
      <c r="AV1" s="4" t="inlineStr">
        <is>
          <t>F1_Юр_блок: Оцените взаимодействие филиала с подразделениями (</t>
        </is>
      </c>
      <c r="AW1" s="4" t="inlineStr">
        <is>
          <t>F1_Закупки_(ОЛЖА): Оцените взаимодействие филиала с подразделениями (</t>
        </is>
      </c>
      <c r="AX1" s="4" t="inlineStr">
        <is>
          <t>F1_СТ_(тех._блок): Оцените взаимодействие филиала с подразделениями (</t>
        </is>
      </c>
      <c r="AY1" s="4" t="inlineStr">
        <is>
          <t>F1_Зерек_/_Zerek_R: Оцените взаимодействие филиала с подразделениями (</t>
        </is>
      </c>
      <c r="AZ1" s="4" t="inlineStr">
        <is>
          <t>F1_HR: Оцените взаимодействие филиала с подразделениями (</t>
        </is>
      </c>
      <c r="BA1" s="4" t="inlineStr">
        <is>
          <t>F1_Лаборатория_(по: Оцените взаимодействие филиала с подразделениями (</t>
        </is>
      </c>
      <c r="BB1" s="4" t="inlineStr">
        <is>
          <t>F2: С каким подразделением ЦО чаще всего возникают зад</t>
        </is>
      </c>
      <c r="BC1" s="4" t="inlineStr">
        <is>
          <t>F3: Насколько своевременно ДРБ передаёт проекты с полн</t>
        </is>
      </c>
      <c r="BD1" s="4" t="inlineStr">
        <is>
          <t>F4: Насколько оперативно Юр блок сопровождает договоры</t>
        </is>
      </c>
      <c r="BE1" s="4" t="inlineStr">
        <is>
          <t>F5: Опишите типичную проблему во взаимодействии с цент</t>
        </is>
      </c>
      <c r="BF1" s="4" t="inlineStr">
        <is>
          <t>G1: Какие инструменты вы используете в ежедневной прое</t>
        </is>
      </c>
      <c r="BG1" s="4" t="inlineStr">
        <is>
          <t>G2: Насколько полноценно работает платформа портфеля п</t>
        </is>
      </c>
      <c r="BH1" s="4" t="inlineStr">
        <is>
          <t>G3: Чего не хватает в текущих IT-инструментах для ваше</t>
        </is>
      </c>
      <c r="BI1" s="4" t="inlineStr">
        <is>
          <t>G4: Сколько времени в неделю уходит на ручной сбор дан</t>
        </is>
      </c>
      <c r="BJ1" s="4" t="inlineStr">
        <is>
          <t>H1: Назовите ТОП-3 проблемы в процессах, которые сильн</t>
        </is>
      </c>
      <c r="BK1" s="4" t="inlineStr">
        <is>
          <t>H2: Назовите ТОП-3 процесса, которые нужно автоматизир</t>
        </is>
      </c>
      <c r="BL1" s="4" t="inlineStr">
        <is>
          <t>H3: Если бы вы могли изменить одну вещь в работе ДУП и</t>
        </is>
      </c>
      <c r="BM1" s="4" t="inlineStr">
        <is>
          <t>H4: Готовы ли вы участвовать в 30–45-минутном углублён</t>
        </is>
      </c>
      <c r="BN1" s="4" t="inlineStr">
        <is>
          <t xml:space="preserve">H5: Контакт для связи (email / телефон) — если готовы </t>
        </is>
      </c>
    </row>
    <row r="2">
      <c r="A2" t="inlineStr">
        <is>
          <t>2026-08-19</t>
        </is>
      </c>
      <c r="B2" t="inlineStr">
        <is>
          <t>Алматы</t>
        </is>
      </c>
      <c r="C2" t="inlineStr">
        <is>
          <t>Директор филиала</t>
        </is>
      </c>
      <c r="K2" t="n">
        <v>2</v>
      </c>
      <c r="M2" t="n">
        <v>4</v>
      </c>
      <c r="P2" t="n">
        <v>4</v>
      </c>
      <c r="V2" t="n">
        <v>3</v>
      </c>
      <c r="X2" t="n">
        <v>2</v>
      </c>
      <c r="AA2" t="n">
        <v>3</v>
      </c>
      <c r="AE2" t="n">
        <v>2</v>
      </c>
      <c r="AI2" t="n">
        <v>3</v>
      </c>
      <c r="AL2" t="n">
        <v>2</v>
      </c>
      <c r="AM2" t="n">
        <v>2</v>
      </c>
      <c r="AN2" t="n">
        <v>2</v>
      </c>
      <c r="AT2" t="n">
        <v>3</v>
      </c>
      <c r="AU2" t="n">
        <v>2</v>
      </c>
      <c r="AV2" t="n">
        <v>3</v>
      </c>
      <c r="AW2" t="n">
        <v>3</v>
      </c>
      <c r="AX2" t="n">
        <v>5</v>
      </c>
      <c r="AY2" t="n">
        <v>2</v>
      </c>
      <c r="AZ2" t="n">
        <v>3</v>
      </c>
      <c r="BA2" t="n">
        <v>2</v>
      </c>
      <c r="BC2" t="n">
        <v>3</v>
      </c>
      <c r="BD2" t="n">
        <v>4</v>
      </c>
      <c r="BG2" t="n">
        <v>3</v>
      </c>
      <c r="BJ2" t="inlineStr">
        <is>
          <t>Задержки закупок; неполный пакет от ДРБ; хаос в прогнозе поступлений</t>
        </is>
      </c>
      <c r="BM2" t="inlineStr">
        <is>
          <t>Да</t>
        </is>
      </c>
    </row>
    <row r="3">
      <c r="A3" t="inlineStr">
        <is>
          <t>2026-08-17</t>
        </is>
      </c>
      <c r="B3" t="inlineStr">
        <is>
          <t>Туркестан</t>
        </is>
      </c>
      <c r="C3" t="inlineStr">
        <is>
          <t>Главный инженер</t>
        </is>
      </c>
      <c r="K3" t="n">
        <v>2</v>
      </c>
      <c r="M3" t="n">
        <v>4</v>
      </c>
      <c r="P3" t="n">
        <v>4</v>
      </c>
      <c r="V3" t="n">
        <v>3</v>
      </c>
      <c r="X3" t="n">
        <v>2</v>
      </c>
      <c r="AA3" t="n">
        <v>2</v>
      </c>
      <c r="AE3" t="n">
        <v>2</v>
      </c>
      <c r="AI3" t="n">
        <v>4</v>
      </c>
      <c r="AL3" t="n">
        <v>3</v>
      </c>
      <c r="AM3" t="n">
        <v>3</v>
      </c>
      <c r="AN3" t="n">
        <v>2</v>
      </c>
      <c r="AT3" t="n">
        <v>4</v>
      </c>
      <c r="AU3" t="n">
        <v>5</v>
      </c>
      <c r="AV3" t="n">
        <v>4</v>
      </c>
      <c r="AW3" t="n">
        <v>5</v>
      </c>
      <c r="AX3" t="n">
        <v>2</v>
      </c>
      <c r="AY3" t="n">
        <v>2</v>
      </c>
      <c r="AZ3" t="n">
        <v>2</v>
      </c>
      <c r="BA3" t="n">
        <v>4</v>
      </c>
      <c r="BC3" t="n">
        <v>2</v>
      </c>
      <c r="BD3" t="n">
        <v>2</v>
      </c>
      <c r="BG3" t="n">
        <v>2</v>
      </c>
      <c r="BJ3" t="inlineStr">
        <is>
          <t>Задержки закупок; неполный пакет от ДРБ; хаос в прогнозе поступлений</t>
        </is>
      </c>
      <c r="BM3" t="inlineStr">
        <is>
          <t>Возможно, по согласованию</t>
        </is>
      </c>
    </row>
    <row r="4">
      <c r="A4" t="inlineStr">
        <is>
          <t>2026-08-15</t>
        </is>
      </c>
      <c r="B4" t="inlineStr">
        <is>
          <t>Астана</t>
        </is>
      </c>
      <c r="C4" t="inlineStr">
        <is>
          <t>Региональный менеджер проекта</t>
        </is>
      </c>
      <c r="K4" t="n">
        <v>2</v>
      </c>
      <c r="M4" t="n">
        <v>2</v>
      </c>
      <c r="P4" t="n">
        <v>2</v>
      </c>
      <c r="V4" t="n">
        <v>3</v>
      </c>
      <c r="X4" t="n">
        <v>2</v>
      </c>
      <c r="AA4" t="n">
        <v>4</v>
      </c>
      <c r="AE4" t="n">
        <v>2</v>
      </c>
      <c r="AI4" t="n">
        <v>4</v>
      </c>
      <c r="AL4" t="n">
        <v>2</v>
      </c>
      <c r="AM4" t="n">
        <v>4</v>
      </c>
      <c r="AN4" t="n">
        <v>2</v>
      </c>
      <c r="AT4" t="n">
        <v>2</v>
      </c>
      <c r="AU4" t="n">
        <v>3</v>
      </c>
      <c r="AV4" t="n">
        <v>2</v>
      </c>
      <c r="AW4" t="n">
        <v>5</v>
      </c>
      <c r="AX4" t="n">
        <v>2</v>
      </c>
      <c r="AY4" t="n">
        <v>3</v>
      </c>
      <c r="AZ4" t="n">
        <v>2</v>
      </c>
      <c r="BA4" t="n">
        <v>4</v>
      </c>
      <c r="BC4" t="n">
        <v>4</v>
      </c>
      <c r="BD4" t="n">
        <v>4</v>
      </c>
      <c r="BG4" t="n">
        <v>3</v>
      </c>
      <c r="BJ4" t="inlineStr">
        <is>
          <t>Задержки закупок; неполный пакет от ДРБ; хаос в прогнозе поступлений</t>
        </is>
      </c>
      <c r="BM4" t="inlineStr">
        <is>
          <t>Возможно, по согласованию</t>
        </is>
      </c>
    </row>
    <row r="5">
      <c r="A5" t="inlineStr">
        <is>
          <t>2026-08-13</t>
        </is>
      </c>
      <c r="B5" t="inlineStr">
        <is>
          <t>Тараз</t>
        </is>
      </c>
      <c r="C5" t="inlineStr">
        <is>
          <t>Директор филиала</t>
        </is>
      </c>
      <c r="K5" t="n">
        <v>4</v>
      </c>
      <c r="M5" t="n">
        <v>3</v>
      </c>
      <c r="P5" t="n">
        <v>3</v>
      </c>
      <c r="V5" t="n">
        <v>3</v>
      </c>
      <c r="X5" t="n">
        <v>2</v>
      </c>
      <c r="AA5" t="n">
        <v>3</v>
      </c>
      <c r="AE5" t="n">
        <v>3</v>
      </c>
      <c r="AI5" t="n">
        <v>2</v>
      </c>
      <c r="AL5" t="n">
        <v>3</v>
      </c>
      <c r="AM5" t="n">
        <v>4</v>
      </c>
      <c r="AN5" t="n">
        <v>2</v>
      </c>
      <c r="AT5" t="n">
        <v>5</v>
      </c>
      <c r="AU5" t="n">
        <v>3</v>
      </c>
      <c r="AV5" t="n">
        <v>2</v>
      </c>
      <c r="AW5" t="n">
        <v>2</v>
      </c>
      <c r="AX5" t="n">
        <v>2</v>
      </c>
      <c r="AY5" t="n">
        <v>2</v>
      </c>
      <c r="AZ5" t="n">
        <v>4</v>
      </c>
      <c r="BA5" t="n">
        <v>5</v>
      </c>
      <c r="BC5" t="n">
        <v>4</v>
      </c>
      <c r="BD5" t="n">
        <v>3</v>
      </c>
      <c r="BG5" t="n">
        <v>3</v>
      </c>
      <c r="BJ5" t="inlineStr">
        <is>
          <t>Задержки закупок; неполный пакет от ДРБ; хаос в прогнозе поступлений</t>
        </is>
      </c>
      <c r="BM5" t="inlineStr">
        <is>
          <t>Да</t>
        </is>
      </c>
    </row>
    <row r="6">
      <c r="A6" t="inlineStr">
        <is>
          <t>2026-08-11</t>
        </is>
      </c>
      <c r="B6" t="inlineStr">
        <is>
          <t>Шымкент</t>
        </is>
      </c>
      <c r="C6" t="inlineStr">
        <is>
          <t>Заместитель директора филиала</t>
        </is>
      </c>
      <c r="K6" t="n">
        <v>4</v>
      </c>
      <c r="M6" t="n">
        <v>4</v>
      </c>
      <c r="P6" t="n">
        <v>3</v>
      </c>
      <c r="V6" t="n">
        <v>3</v>
      </c>
      <c r="X6" t="n">
        <v>4</v>
      </c>
      <c r="AA6" t="n">
        <v>2</v>
      </c>
      <c r="AE6" t="n">
        <v>3</v>
      </c>
      <c r="AI6" t="n">
        <v>4</v>
      </c>
      <c r="AL6" t="n">
        <v>4</v>
      </c>
      <c r="AM6" t="n">
        <v>2</v>
      </c>
      <c r="AN6" t="n">
        <v>4</v>
      </c>
      <c r="AT6" t="n">
        <v>2</v>
      </c>
      <c r="AU6" t="n">
        <v>5</v>
      </c>
      <c r="AV6" t="n">
        <v>5</v>
      </c>
      <c r="AW6" t="n">
        <v>5</v>
      </c>
      <c r="AX6" t="n">
        <v>4</v>
      </c>
      <c r="AY6" t="n">
        <v>3</v>
      </c>
      <c r="AZ6" t="n">
        <v>2</v>
      </c>
      <c r="BA6" t="n">
        <v>3</v>
      </c>
      <c r="BC6" t="n">
        <v>3</v>
      </c>
      <c r="BD6" t="n">
        <v>4</v>
      </c>
      <c r="BG6" t="n">
        <v>4</v>
      </c>
      <c r="BJ6" t="inlineStr">
        <is>
          <t>Задержки закупок; неполный пакет от ДРБ; хаос в прогнозе поступлений</t>
        </is>
      </c>
      <c r="BM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12" customWidth="1" min="4" max="4"/>
    <col width="16" customWidth="1" min="5" max="5"/>
  </cols>
  <sheetData>
    <row r="1">
      <c r="A1" s="4" t="inlineStr">
        <is>
          <t>ID</t>
        </is>
      </c>
      <c r="B1" s="4" t="inlineStr">
        <is>
          <t>Текст вопроса</t>
        </is>
      </c>
      <c r="C1" s="4" t="inlineStr">
        <is>
          <t>Тип</t>
        </is>
      </c>
      <c r="D1" s="4" t="inlineStr">
        <is>
          <t>Столбец в «Сырые ответы»</t>
        </is>
      </c>
      <c r="E1" s="4" t="inlineStr">
        <is>
          <t>Участвует в сводке</t>
        </is>
      </c>
    </row>
    <row r="2">
      <c r="A2" s="5" t="inlineStr">
        <is>
          <t>A1</t>
        </is>
      </c>
      <c r="B2" s="6" t="inlineStr">
        <is>
          <t>Ваш регион / филиал</t>
        </is>
      </c>
      <c r="C2" s="5" t="inlineStr">
        <is>
          <t>текст</t>
        </is>
      </c>
      <c r="D2" s="5" t="inlineStr">
        <is>
          <t>E</t>
        </is>
      </c>
      <c r="E2" s="5" t="inlineStr">
        <is>
          <t>—</t>
        </is>
      </c>
    </row>
    <row r="3">
      <c r="A3" s="5" t="inlineStr">
        <is>
          <t>A2</t>
        </is>
      </c>
      <c r="B3" s="6" t="inlineStr">
        <is>
          <t>Ваша должность</t>
        </is>
      </c>
      <c r="C3" s="5" t="inlineStr">
        <is>
          <t>один из списка</t>
        </is>
      </c>
      <c r="D3" s="5" t="inlineStr">
        <is>
          <t>F</t>
        </is>
      </c>
      <c r="E3" s="5" t="inlineStr">
        <is>
          <t>Распределение</t>
        </is>
      </c>
    </row>
    <row r="4">
      <c r="A4" s="5" t="inlineStr">
        <is>
          <t>A3</t>
        </is>
      </c>
      <c r="B4" s="6" t="inlineStr">
        <is>
          <t>Сколько действующих проектов ГЧП/ГЗ сейчас ведёт филиал?</t>
        </is>
      </c>
      <c r="C4" s="5" t="inlineStr">
        <is>
          <t>один из списка</t>
        </is>
      </c>
      <c r="D4" s="5" t="inlineStr">
        <is>
          <t>G</t>
        </is>
      </c>
      <c r="E4" s="5" t="inlineStr">
        <is>
          <t>Распределение</t>
        </is>
      </c>
    </row>
    <row r="5">
      <c r="A5" s="5" t="inlineStr">
        <is>
          <t>A4</t>
        </is>
      </c>
      <c r="B5" s="6" t="inlineStr">
        <is>
          <t>Сколько сотрудников в проектной/операционной команде филиала (приблизительно)?</t>
        </is>
      </c>
      <c r="C5" s="5" t="inlineStr">
        <is>
          <t>один из списка</t>
        </is>
      </c>
      <c r="D5" s="5" t="inlineStr">
        <is>
          <t>H</t>
        </is>
      </c>
      <c r="E5" s="5" t="inlineStr">
        <is>
          <t>Распределение</t>
        </is>
      </c>
    </row>
    <row r="6">
      <c r="A6" s="5" t="inlineStr">
        <is>
          <t>A5</t>
        </is>
      </c>
      <c r="B6" s="6" t="inlineStr">
        <is>
          <t>Как часто вы взаимодействуете с куратором/менеджером проекта со стороны ДУП?</t>
        </is>
      </c>
      <c r="C6" s="5" t="inlineStr">
        <is>
          <t>один из списка</t>
        </is>
      </c>
      <c r="D6" s="5" t="inlineStr">
        <is>
          <t>I</t>
        </is>
      </c>
      <c r="E6" s="5" t="inlineStr">
        <is>
          <t>Распределение</t>
        </is>
      </c>
    </row>
    <row r="7">
      <c r="A7" s="5" t="inlineStr">
        <is>
          <t>A6</t>
        </is>
      </c>
      <c r="B7" s="6" t="inlineStr">
        <is>
          <t>Знаете ли вы, кто является вашим закреплённым куратором в ДУП (ФИО)?</t>
        </is>
      </c>
      <c r="C7" s="5" t="inlineStr">
        <is>
          <t>да/нет</t>
        </is>
      </c>
      <c r="D7" s="5" t="inlineStr">
        <is>
          <t>J</t>
        </is>
      </c>
      <c r="E7" s="5" t="inlineStr">
        <is>
          <t>Распределение</t>
        </is>
      </c>
    </row>
    <row r="8">
      <c r="A8" s="5" t="inlineStr">
        <is>
          <t>B1</t>
        </is>
      </c>
      <c r="B8" s="6" t="inlineStr">
        <is>
          <t>Насколько понятен вам процесс запуска нового проекта в филиале (от получения поручения до сдачи объекта)?</t>
        </is>
      </c>
      <c r="C8" s="5" t="inlineStr">
        <is>
          <t>шкала 1–5</t>
        </is>
      </c>
      <c r="D8" s="5" t="inlineStr">
        <is>
          <t>K</t>
        </is>
      </c>
      <c r="E8" s="5" t="inlineStr">
        <is>
          <t>Шкала</t>
        </is>
      </c>
    </row>
    <row r="9">
      <c r="A9" s="5" t="inlineStr">
        <is>
          <t>B2</t>
        </is>
      </c>
      <c r="B9" s="6" t="inlineStr">
        <is>
          <t>Как вы обычно получаете новый проект от ДУП / ДРБ?</t>
        </is>
      </c>
      <c r="C9" s="5" t="inlineStr">
        <is>
          <t>несколько из списка</t>
        </is>
      </c>
      <c r="D9" s="5" t="inlineStr">
        <is>
          <t>L</t>
        </is>
      </c>
      <c r="E9" s="5" t="inlineStr">
        <is>
          <t>—</t>
        </is>
      </c>
    </row>
    <row r="10">
      <c r="A10" s="5" t="inlineStr">
        <is>
          <t>B3</t>
        </is>
      </c>
      <c r="B10" s="6" t="inlineStr">
        <is>
          <t>Достаточно ли полным приходит пакет документов при старте проекта (договор, ФЭМ, ТЗ, адресная программа и т.д.)?</t>
        </is>
      </c>
      <c r="C10" s="5" t="inlineStr">
        <is>
          <t>шкала 1–5</t>
        </is>
      </c>
      <c r="D10" s="5" t="inlineStr">
        <is>
          <t>M</t>
        </is>
      </c>
      <c r="E10" s="5" t="inlineStr">
        <is>
          <t>Шкала</t>
        </is>
      </c>
    </row>
    <row r="11">
      <c r="A11" s="5" t="inlineStr">
        <is>
          <t>B4</t>
        </is>
      </c>
      <c r="B11" s="6" t="inlineStr">
        <is>
          <t>Какие документы чаще всего отсутствуют или приходят с задержкой? (можно несколько)</t>
        </is>
      </c>
      <c r="C11" s="5" t="inlineStr">
        <is>
          <t>несколько из списка</t>
        </is>
      </c>
      <c r="D11" s="5" t="inlineStr">
        <is>
          <t>N</t>
        </is>
      </c>
      <c r="E11" s="5" t="inlineStr">
        <is>
          <t>—</t>
        </is>
      </c>
    </row>
    <row r="12">
      <c r="A12" s="5" t="inlineStr">
        <is>
          <t>B5</t>
        </is>
      </c>
      <c r="B12" s="6" t="inlineStr">
        <is>
          <t>Сколько в среднем занимает подготовка проектной документации филиалом (устав, план, приказ)?</t>
        </is>
      </c>
      <c r="C12" s="5" t="inlineStr">
        <is>
          <t>один из списка</t>
        </is>
      </c>
      <c r="D12" s="5" t="inlineStr">
        <is>
          <t>O</t>
        </is>
      </c>
      <c r="E12" s="5" t="inlineStr">
        <is>
          <t>Распределение</t>
        </is>
      </c>
    </row>
    <row r="13">
      <c r="A13" s="5" t="inlineStr">
        <is>
          <t>B6</t>
        </is>
      </c>
      <c r="B13" s="6" t="inlineStr">
        <is>
          <t>Насколько сложно согласовать бюджет проекта с Финблоком через ДУП?</t>
        </is>
      </c>
      <c r="C13" s="5" t="inlineStr">
        <is>
          <t>шкала 1–5</t>
        </is>
      </c>
      <c r="D13" s="5" t="inlineStr">
        <is>
          <t>P</t>
        </is>
      </c>
      <c r="E13" s="5" t="inlineStr">
        <is>
          <t>Шкала</t>
        </is>
      </c>
    </row>
    <row r="14">
      <c r="A14" s="5" t="inlineStr">
        <is>
          <t>B7</t>
        </is>
      </c>
      <c r="B14" s="6" t="inlineStr">
        <is>
          <t>Как часто закупочные процедуры (выше упрощённого порога) задерживают реализацию проекта?</t>
        </is>
      </c>
      <c r="C14" s="5" t="inlineStr">
        <is>
          <t>один из списка</t>
        </is>
      </c>
      <c r="D14" s="5" t="inlineStr">
        <is>
          <t>Q</t>
        </is>
      </c>
      <c r="E14" s="5" t="inlineStr">
        <is>
          <t>Распределение</t>
        </is>
      </c>
    </row>
    <row r="15">
      <c r="A15" s="5" t="inlineStr">
        <is>
          <t>B8</t>
        </is>
      </c>
      <c r="B15" s="6" t="inlineStr">
        <is>
          <t>Оцените среднюю длительность закупочной процедуры выше упрощённого порога (от заявки до договора)</t>
        </is>
      </c>
      <c r="C15" s="5" t="inlineStr">
        <is>
          <t>один из списка</t>
        </is>
      </c>
      <c r="D15" s="5" t="inlineStr">
        <is>
          <t>R</t>
        </is>
      </c>
      <c r="E15" s="5" t="inlineStr">
        <is>
          <t>Распределение</t>
        </is>
      </c>
    </row>
    <row r="16">
      <c r="A16" s="5" t="inlineStr">
        <is>
          <t>B9</t>
        </is>
      </c>
      <c r="B16" s="6" t="inlineStr">
        <is>
          <t>Проводятся ли регулярные статус-встречи по проектам реализации?</t>
        </is>
      </c>
      <c r="C16" s="5" t="inlineStr">
        <is>
          <t>один из списка</t>
        </is>
      </c>
      <c r="D16" s="5" t="inlineStr">
        <is>
          <t>S</t>
        </is>
      </c>
      <c r="E16" s="5" t="inlineStr">
        <is>
          <t>Распределение</t>
        </is>
      </c>
    </row>
    <row r="17">
      <c r="A17" s="5" t="inlineStr">
        <is>
          <t>B10</t>
        </is>
      </c>
      <c r="B17" s="6" t="inlineStr">
        <is>
          <t>Кто чаще всего инициирует и ведёт статус-встречи по реализации?</t>
        </is>
      </c>
      <c r="C17" s="5" t="inlineStr">
        <is>
          <t>один из списка</t>
        </is>
      </c>
      <c r="D17" s="5" t="inlineStr">
        <is>
          <t>T</t>
        </is>
      </c>
      <c r="E17" s="5" t="inlineStr">
        <is>
          <t>Распределение</t>
        </is>
      </c>
    </row>
    <row r="18">
      <c r="A18" s="5" t="inlineStr">
        <is>
          <t>B11</t>
        </is>
      </c>
      <c r="B18" s="6" t="inlineStr">
        <is>
          <t>Опишите 1–2 типичных блокера на этапе реализации в вашем регионе</t>
        </is>
      </c>
      <c r="C18" s="5" t="inlineStr">
        <is>
          <t>развёрнутый текст</t>
        </is>
      </c>
      <c r="D18" s="5" t="inlineStr">
        <is>
          <t>U</t>
        </is>
      </c>
      <c r="E18" s="5" t="inlineStr">
        <is>
          <t>Открытый</t>
        </is>
      </c>
    </row>
    <row r="19">
      <c r="A19" s="5" t="inlineStr">
        <is>
          <t>C1</t>
        </is>
      </c>
      <c r="B19" s="6" t="inlineStr">
        <is>
          <t>Насколько понятен процесс сопровождения действующих проектов после ввода в эксплуатацию?</t>
        </is>
      </c>
      <c r="C19" s="5" t="inlineStr">
        <is>
          <t>шкала 1–5</t>
        </is>
      </c>
      <c r="D19" s="5" t="inlineStr">
        <is>
          <t>V</t>
        </is>
      </c>
      <c r="E19" s="5" t="inlineStr">
        <is>
          <t>Шкала</t>
        </is>
      </c>
    </row>
    <row r="20">
      <c r="A20" s="5" t="inlineStr">
        <is>
          <t>C2</t>
        </is>
      </c>
      <c r="B20" s="6" t="inlineStr">
        <is>
          <t>Какие задачи сопровождения выполняет филиал самостоятельно без участия ДУП? (можно несколько)</t>
        </is>
      </c>
      <c r="C20" s="5" t="inlineStr">
        <is>
          <t>несколько из списка</t>
        </is>
      </c>
      <c r="D20" s="5" t="inlineStr">
        <is>
          <t>W</t>
        </is>
      </c>
      <c r="E20" s="5" t="inlineStr">
        <is>
          <t>—</t>
        </is>
      </c>
    </row>
    <row r="21">
      <c r="A21" s="5" t="inlineStr">
        <is>
          <t>C3</t>
        </is>
      </c>
      <c r="B21" s="6" t="inlineStr">
        <is>
          <t>Насколько своевременно ДУП реагирует на операционные проблемы (инциденты, простои, претензии госпартнёра)?</t>
        </is>
      </c>
      <c r="C21" s="5" t="inlineStr">
        <is>
          <t>шкала 1–5</t>
        </is>
      </c>
      <c r="D21" s="5" t="inlineStr">
        <is>
          <t>X</t>
        </is>
      </c>
      <c r="E21" s="5" t="inlineStr">
        <is>
          <t>Шкала</t>
        </is>
      </c>
    </row>
    <row r="22">
      <c r="A22" s="5" t="inlineStr">
        <is>
          <t>C4</t>
        </is>
      </c>
      <c r="B22" s="6" t="inlineStr">
        <is>
          <t>Сталкивались ли вы с ситуацией, когда продукт/оборудование передали в эксплуатацию до полной готовности (пилот не завершён)?</t>
        </is>
      </c>
      <c r="C22" s="5" t="inlineStr">
        <is>
          <t>да/нет</t>
        </is>
      </c>
      <c r="D22" s="5" t="inlineStr">
        <is>
          <t>Y</t>
        </is>
      </c>
      <c r="E22" s="5" t="inlineStr">
        <is>
          <t>Распределение</t>
        </is>
      </c>
    </row>
    <row r="23">
      <c r="A23" s="5" t="inlineStr">
        <is>
          <t>C5</t>
        </is>
      </c>
      <c r="B23" s="6" t="inlineStr">
        <is>
          <t>Если да — к чему это приводило? (можно несколько)</t>
        </is>
      </c>
      <c r="C23" s="5" t="inlineStr">
        <is>
          <t>несколько из списка</t>
        </is>
      </c>
      <c r="D23" s="5" t="inlineStr">
        <is>
          <t>Z</t>
        </is>
      </c>
      <c r="E23" s="5" t="inlineStr">
        <is>
          <t>—</t>
        </is>
      </c>
    </row>
    <row r="24">
      <c r="A24" s="5" t="inlineStr">
        <is>
          <t>C6</t>
        </is>
      </c>
      <c r="B24" s="6" t="inlineStr">
        <is>
          <t>Насколько налажен процесс передачи информации о дефектах компонентов (от монтажников/эксплуатации к закупкам/ТЗ)?</t>
        </is>
      </c>
      <c r="C24" s="5" t="inlineStr">
        <is>
          <t>шкала 1–5</t>
        </is>
      </c>
      <c r="D24" s="5" t="inlineStr">
        <is>
          <t>AA</t>
        </is>
      </c>
      <c r="E24" s="5" t="inlineStr">
        <is>
          <t>Шкала</t>
        </is>
      </c>
    </row>
    <row r="25">
      <c r="A25" s="5" t="inlineStr">
        <is>
          <t>C7</t>
        </is>
      </c>
      <c r="B25" s="6" t="inlineStr">
        <is>
          <t>Как часто филиал инициирует продление или модернизацию контракта с госпартнёром?</t>
        </is>
      </c>
      <c r="C25" s="5" t="inlineStr">
        <is>
          <t>один из списка</t>
        </is>
      </c>
      <c r="D25" s="5" t="inlineStr">
        <is>
          <t>AB</t>
        </is>
      </c>
      <c r="E25" s="5" t="inlineStr">
        <is>
          <t>Распределение</t>
        </is>
      </c>
    </row>
    <row r="26">
      <c r="A26" s="5" t="inlineStr">
        <is>
          <t>C8</t>
        </is>
      </c>
      <c r="B26" s="6" t="inlineStr">
        <is>
          <t>Опишите главную боль в операционном сопровождении в вашем филиале</t>
        </is>
      </c>
      <c r="C26" s="5" t="inlineStr">
        <is>
          <t>развёрнутый текст</t>
        </is>
      </c>
      <c r="D26" s="5" t="inlineStr">
        <is>
          <t>AC</t>
        </is>
      </c>
      <c r="E26" s="5" t="inlineStr">
        <is>
          <t>Открытый</t>
        </is>
      </c>
    </row>
    <row r="27">
      <c r="A27" s="5" t="inlineStr">
        <is>
          <t>D1</t>
        </is>
      </c>
      <c r="B27" s="6" t="inlineStr">
        <is>
          <t>Кто в филиале формирует реестр платежей?</t>
        </is>
      </c>
      <c r="C27" s="5" t="inlineStr">
        <is>
          <t>один из списка</t>
        </is>
      </c>
      <c r="D27" s="5" t="inlineStr">
        <is>
          <t>AD</t>
        </is>
      </c>
      <c r="E27" s="5" t="inlineStr">
        <is>
          <t>Распределение</t>
        </is>
      </c>
    </row>
    <row r="28">
      <c r="A28" s="5" t="inlineStr">
        <is>
          <t>D2</t>
        </is>
      </c>
      <c r="B28" s="6" t="inlineStr">
        <is>
          <t>Насколько понятен процесс приоритизации платежей (филиал → ДУП → Финблок)?</t>
        </is>
      </c>
      <c r="C28" s="5" t="inlineStr">
        <is>
          <t>шкала 1–5</t>
        </is>
      </c>
      <c r="D28" s="5" t="inlineStr">
        <is>
          <t>AE</t>
        </is>
      </c>
      <c r="E28" s="5" t="inlineStr">
        <is>
          <t>Шкала</t>
        </is>
      </c>
    </row>
    <row r="29">
      <c r="A29" s="5" t="inlineStr">
        <is>
          <t>D3</t>
        </is>
      </c>
      <c r="B29" s="6" t="inlineStr">
        <is>
          <t>Как часто платежи по вашим заявкам задерживаются дольше критичного срока?</t>
        </is>
      </c>
      <c r="C29" s="5" t="inlineStr">
        <is>
          <t>один из списка</t>
        </is>
      </c>
      <c r="D29" s="5" t="inlineStr">
        <is>
          <t>AF</t>
        </is>
      </c>
      <c r="E29" s="5" t="inlineStr">
        <is>
          <t>Распределение</t>
        </is>
      </c>
    </row>
    <row r="30">
      <c r="A30" s="5" t="inlineStr">
        <is>
          <t>D4</t>
        </is>
      </c>
      <c r="B30" s="6" t="inlineStr">
        <is>
          <t>Какова типичная причина задержки оплат? (можно несколько)</t>
        </is>
      </c>
      <c r="C30" s="5" t="inlineStr">
        <is>
          <t>несколько из списка</t>
        </is>
      </c>
      <c r="D30" s="5" t="inlineStr">
        <is>
          <t>AG</t>
        </is>
      </c>
      <c r="E30" s="5" t="inlineStr">
        <is>
          <t>—</t>
        </is>
      </c>
    </row>
    <row r="31">
      <c r="A31" s="5" t="inlineStr">
        <is>
          <t>D5</t>
        </is>
      </c>
      <c r="B31" s="6" t="inlineStr">
        <is>
          <t>Участвует ли филиал в прогнозе поступлений доходов от госпартнёра?</t>
        </is>
      </c>
      <c r="C31" s="5" t="inlineStr">
        <is>
          <t>один из списка</t>
        </is>
      </c>
      <c r="D31" s="5" t="inlineStr">
        <is>
          <t>AH</t>
        </is>
      </c>
      <c r="E31" s="5" t="inlineStr">
        <is>
          <t>Распределение</t>
        </is>
      </c>
    </row>
    <row r="32">
      <c r="A32" s="5" t="inlineStr">
        <is>
          <t>D6</t>
        </is>
      </c>
      <c r="B32" s="6" t="inlineStr">
        <is>
          <t>Насколько удобен текущий формат обмена данными по прогнозу поступлений/расходов с Финблоком?</t>
        </is>
      </c>
      <c r="C32" s="5" t="inlineStr">
        <is>
          <t>шкала 1–5</t>
        </is>
      </c>
      <c r="D32" s="5" t="inlineStr">
        <is>
          <t>AI</t>
        </is>
      </c>
      <c r="E32" s="5" t="inlineStr">
        <is>
          <t>Шкала</t>
        </is>
      </c>
    </row>
    <row r="33">
      <c r="A33" s="5" t="inlineStr">
        <is>
          <t>D7</t>
        </is>
      </c>
      <c r="B33" s="6" t="inlineStr">
        <is>
          <t>Сталкивались ли с ситуацией нехватки бюджета проекта (перерасход по ФЭМ)?</t>
        </is>
      </c>
      <c r="C33" s="5" t="inlineStr">
        <is>
          <t>да/нет</t>
        </is>
      </c>
      <c r="D33" s="5" t="inlineStr">
        <is>
          <t>AJ</t>
        </is>
      </c>
      <c r="E33" s="5" t="inlineStr">
        <is>
          <t>Распределение</t>
        </is>
      </c>
    </row>
    <row r="34">
      <c r="A34" s="5" t="inlineStr">
        <is>
          <t>D8</t>
        </is>
      </c>
      <c r="B34" s="6" t="inlineStr">
        <is>
          <t>Если да — как решался вопрос?</t>
        </is>
      </c>
      <c r="C34" s="5" t="inlineStr">
        <is>
          <t>развёрнутый текст</t>
        </is>
      </c>
      <c r="D34" s="5" t="inlineStr">
        <is>
          <t>AK</t>
        </is>
      </c>
      <c r="E34" s="5" t="inlineStr">
        <is>
          <t>Открытый</t>
        </is>
      </c>
    </row>
    <row r="35">
      <c r="A35" s="5" t="inlineStr">
        <is>
          <t>E1</t>
        </is>
      </c>
      <c r="B35" s="6" t="inlineStr">
        <is>
          <t>Насколько чётко разграничены зоны ответственности между филиалом и ДУП?</t>
        </is>
      </c>
      <c r="C35" s="5" t="inlineStr">
        <is>
          <t>шкала 1–5</t>
        </is>
      </c>
      <c r="D35" s="5" t="inlineStr">
        <is>
          <t>AL</t>
        </is>
      </c>
      <c r="E35" s="5" t="inlineStr">
        <is>
          <t>Шкала</t>
        </is>
      </c>
    </row>
    <row r="36">
      <c r="A36" s="5" t="inlineStr">
        <is>
          <t>E2</t>
        </is>
      </c>
      <c r="B36" s="6" t="inlineStr">
        <is>
          <t>Понимаете ли вы, к кому в ДУП обращаться по разным типам вопросов (реализация / сопровождение / финансы / методология)?</t>
        </is>
      </c>
      <c r="C36" s="5" t="inlineStr">
        <is>
          <t>шкала 1–5</t>
        </is>
      </c>
      <c r="D36" s="5" t="inlineStr">
        <is>
          <t>AM</t>
        </is>
      </c>
      <c r="E36" s="5" t="inlineStr">
        <is>
          <t>Шкала</t>
        </is>
      </c>
    </row>
    <row r="37">
      <c r="A37" s="5" t="inlineStr">
        <is>
          <t>E3</t>
        </is>
      </c>
      <c r="B37" s="6" t="inlineStr">
        <is>
          <t>Как вы оцениваете качество коммуникации с куратором ДУП?</t>
        </is>
      </c>
      <c r="C37" s="5" t="inlineStr">
        <is>
          <t>шкала 1–5</t>
        </is>
      </c>
      <c r="D37" s="5" t="inlineStr">
        <is>
          <t>AN</t>
        </is>
      </c>
      <c r="E37" s="5" t="inlineStr">
        <is>
          <t>Шкала</t>
        </is>
      </c>
    </row>
    <row r="38">
      <c r="A38" s="5" t="inlineStr">
        <is>
          <t>E4</t>
        </is>
      </c>
      <c r="B38" s="6" t="inlineStr">
        <is>
          <t>Какие каналы связи с ДУП используются чаще всего? (можно несколько)</t>
        </is>
      </c>
      <c r="C38" s="5" t="inlineStr">
        <is>
          <t>несколько из списка</t>
        </is>
      </c>
      <c r="D38" s="5" t="inlineStr">
        <is>
          <t>AO</t>
        </is>
      </c>
      <c r="E38" s="5" t="inlineStr">
        <is>
          <t>—</t>
        </is>
      </c>
    </row>
    <row r="39">
      <c r="A39" s="5" t="inlineStr">
        <is>
          <t>E5</t>
        </is>
      </c>
      <c r="B39" s="6" t="inlineStr">
        <is>
          <t>Бывали ли случаи эскалации проблем в обход ДУП напрямую к топ-менеджменту или внешним партнёрам?</t>
        </is>
      </c>
      <c r="C39" s="5" t="inlineStr">
        <is>
          <t>да/нет</t>
        </is>
      </c>
      <c r="D39" s="5" t="inlineStr">
        <is>
          <t>AP</t>
        </is>
      </c>
      <c r="E39" s="5" t="inlineStr">
        <is>
          <t>Распределение</t>
        </is>
      </c>
    </row>
    <row r="40">
      <c r="A40" s="5" t="inlineStr">
        <is>
          <t>E6</t>
        </is>
      </c>
      <c r="B40" s="6" t="inlineStr">
        <is>
          <t>Участвовал ли филиал в открытии нового филиала / расширении присутствия в регионе?</t>
        </is>
      </c>
      <c r="C40" s="5" t="inlineStr">
        <is>
          <t>да/нет</t>
        </is>
      </c>
      <c r="D40" s="5" t="inlineStr">
        <is>
          <t>AQ</t>
        </is>
      </c>
      <c r="E40" s="5" t="inlineStr">
        <is>
          <t>Распределение</t>
        </is>
      </c>
    </row>
    <row r="41">
      <c r="A41" s="5" t="inlineStr">
        <is>
          <t>E7</t>
        </is>
      </c>
      <c r="B41" s="6" t="inlineStr">
        <is>
          <t>Если да — насколько понятен был процесс и кто координировал со стороны компании?</t>
        </is>
      </c>
      <c r="C41" s="5" t="inlineStr">
        <is>
          <t>развёрнутый текст</t>
        </is>
      </c>
      <c r="D41" s="5" t="inlineStr">
        <is>
          <t>AR</t>
        </is>
      </c>
      <c r="E41" s="5" t="inlineStr">
        <is>
          <t>Открытый</t>
        </is>
      </c>
    </row>
    <row r="42">
      <c r="A42" s="5" t="inlineStr">
        <is>
          <t>E8</t>
        </is>
      </c>
      <c r="B42" s="6" t="inlineStr">
        <is>
          <t>Что бы вы улучшили во взаимодействии с ДУП в первую очередь?</t>
        </is>
      </c>
      <c r="C42" s="5" t="inlineStr">
        <is>
          <t>развёрнутый текст</t>
        </is>
      </c>
      <c r="D42" s="5" t="inlineStr">
        <is>
          <t>AS</t>
        </is>
      </c>
      <c r="E42" s="5" t="inlineStr">
        <is>
          <t>Открытый</t>
        </is>
      </c>
    </row>
    <row r="43">
      <c r="A43" s="5" t="inlineStr">
        <is>
          <t>F1_ДРБ</t>
        </is>
      </c>
      <c r="B43" s="6" t="inlineStr">
        <is>
          <t>Оцените взаимодействие филиала с подразделениями (1 — очень плохо, 5 — отлично) — ДРБ</t>
        </is>
      </c>
      <c r="C43" s="5" t="inlineStr">
        <is>
          <t>шкала 1–5</t>
        </is>
      </c>
      <c r="D43" s="5" t="inlineStr">
        <is>
          <t>AT</t>
        </is>
      </c>
      <c r="E43" s="5" t="inlineStr">
        <is>
          <t>Шкала</t>
        </is>
      </c>
    </row>
    <row r="44">
      <c r="A44" s="5" t="inlineStr">
        <is>
          <t>F1_Финблок</t>
        </is>
      </c>
      <c r="B44" s="6" t="inlineStr">
        <is>
          <t>Оцените взаимодействие филиала с подразделениями (1 — очень плохо, 5 — отлично) — Финблок</t>
        </is>
      </c>
      <c r="C44" s="5" t="inlineStr">
        <is>
          <t>шкала 1–5</t>
        </is>
      </c>
      <c r="D44" s="5" t="inlineStr">
        <is>
          <t>AU</t>
        </is>
      </c>
      <c r="E44" s="5" t="inlineStr">
        <is>
          <t>Шкала</t>
        </is>
      </c>
    </row>
    <row r="45">
      <c r="A45" s="5" t="inlineStr">
        <is>
          <t>F1_Юр_блок</t>
        </is>
      </c>
      <c r="B45" s="6" t="inlineStr">
        <is>
          <t>Оцените взаимодействие филиала с подразделениями (1 — очень плохо, 5 — отлично) — Юр блок</t>
        </is>
      </c>
      <c r="C45" s="5" t="inlineStr">
        <is>
          <t>шкала 1–5</t>
        </is>
      </c>
      <c r="D45" s="5" t="inlineStr">
        <is>
          <t>AV</t>
        </is>
      </c>
      <c r="E45" s="5" t="inlineStr">
        <is>
          <t>Шкала</t>
        </is>
      </c>
    </row>
    <row r="46">
      <c r="A46" s="5" t="inlineStr">
        <is>
          <t>F1_Закупки_(ОЛЖА)</t>
        </is>
      </c>
      <c r="B46" s="6" t="inlineStr">
        <is>
          <t>Оцените взаимодействие филиала с подразделениями (1 — очень плохо, 5 — отлично) — Закупки (ОЛЖА)</t>
        </is>
      </c>
      <c r="C46" s="5" t="inlineStr">
        <is>
          <t>шкала 1–5</t>
        </is>
      </c>
      <c r="D46" s="5" t="inlineStr">
        <is>
          <t>AW</t>
        </is>
      </c>
      <c r="E46" s="5" t="inlineStr">
        <is>
          <t>Шкала</t>
        </is>
      </c>
    </row>
    <row r="47">
      <c r="A47" s="5" t="inlineStr">
        <is>
          <t>F1_СТ_(тех._блок)</t>
        </is>
      </c>
      <c r="B47" s="6" t="inlineStr">
        <is>
          <t>Оцените взаимодействие филиала с подразделениями (1 — очень плохо, 5 — отлично) — СТ (тех. блок)</t>
        </is>
      </c>
      <c r="C47" s="5" t="inlineStr">
        <is>
          <t>шкала 1–5</t>
        </is>
      </c>
      <c r="D47" s="5" t="inlineStr">
        <is>
          <t>AX</t>
        </is>
      </c>
      <c r="E47" s="5" t="inlineStr">
        <is>
          <t>Шкала</t>
        </is>
      </c>
    </row>
    <row r="48">
      <c r="A48" s="5" t="inlineStr">
        <is>
          <t>F1_Зерек_/_Zerek_R</t>
        </is>
      </c>
      <c r="B48" s="6" t="inlineStr">
        <is>
          <t>Оцените взаимодействие филиала с подразделениями (1 — очень плохо, 5 — отлично) — Зерек / Zerek Road tech</t>
        </is>
      </c>
      <c r="C48" s="5" t="inlineStr">
        <is>
          <t>шкала 1–5</t>
        </is>
      </c>
      <c r="D48" s="5" t="inlineStr">
        <is>
          <t>AY</t>
        </is>
      </c>
      <c r="E48" s="5" t="inlineStr">
        <is>
          <t>Шкала</t>
        </is>
      </c>
    </row>
    <row r="49">
      <c r="A49" s="5" t="inlineStr">
        <is>
          <t>F1_HR</t>
        </is>
      </c>
      <c r="B49" s="6" t="inlineStr">
        <is>
          <t>Оцените взаимодействие филиала с подразделениями (1 — очень плохо, 5 — отлично) — HR</t>
        </is>
      </c>
      <c r="C49" s="5" t="inlineStr">
        <is>
          <t>шкала 1–5</t>
        </is>
      </c>
      <c r="D49" s="5" t="inlineStr">
        <is>
          <t>AZ</t>
        </is>
      </c>
      <c r="E49" s="5" t="inlineStr">
        <is>
          <t>Шкала</t>
        </is>
      </c>
    </row>
    <row r="50">
      <c r="A50" s="5" t="inlineStr">
        <is>
          <t>F1_Лаборатория_(по</t>
        </is>
      </c>
      <c r="B50" s="6" t="inlineStr">
        <is>
          <t>Оцените взаимодействие филиала с подразделениями (1 — очень плохо, 5 — отлично) — Лаборатория (поверка)</t>
        </is>
      </c>
      <c r="C50" s="5" t="inlineStr">
        <is>
          <t>шкала 1–5</t>
        </is>
      </c>
      <c r="D50" s="5" t="inlineStr">
        <is>
          <t>BA</t>
        </is>
      </c>
      <c r="E50" s="5" t="inlineStr">
        <is>
          <t>Шкала</t>
        </is>
      </c>
    </row>
    <row r="51">
      <c r="A51" s="5" t="inlineStr">
        <is>
          <t>F2</t>
        </is>
      </c>
      <c r="B51" s="6" t="inlineStr">
        <is>
          <t>С каким подразделением ЦО чаще всего возникают задержки и недопонимание?</t>
        </is>
      </c>
      <c r="C51" s="5" t="inlineStr">
        <is>
          <t>несколько из списка</t>
        </is>
      </c>
      <c r="D51" s="5" t="inlineStr">
        <is>
          <t>BB</t>
        </is>
      </c>
      <c r="E51" s="5" t="inlineStr">
        <is>
          <t>—</t>
        </is>
      </c>
    </row>
    <row r="52">
      <c r="A52" s="5" t="inlineStr">
        <is>
          <t>F3</t>
        </is>
      </c>
      <c r="B52" s="6" t="inlineStr">
        <is>
          <t>Насколько своевременно ДРБ передаёт проекты с полным пакетом документов?</t>
        </is>
      </c>
      <c r="C52" s="5" t="inlineStr">
        <is>
          <t>шкала 1–5</t>
        </is>
      </c>
      <c r="D52" s="5" t="inlineStr">
        <is>
          <t>BC</t>
        </is>
      </c>
      <c r="E52" s="5" t="inlineStr">
        <is>
          <t>Шкала</t>
        </is>
      </c>
    </row>
    <row r="53">
      <c r="A53" s="5" t="inlineStr">
        <is>
          <t>F4</t>
        </is>
      </c>
      <c r="B53" s="6" t="inlineStr">
        <is>
          <t>Насколько оперативно Юр блок сопровождает договоры и открытие филиала?</t>
        </is>
      </c>
      <c r="C53" s="5" t="inlineStr">
        <is>
          <t>шкала 1–5</t>
        </is>
      </c>
      <c r="D53" s="5" t="inlineStr">
        <is>
          <t>BD</t>
        </is>
      </c>
      <c r="E53" s="5" t="inlineStr">
        <is>
          <t>Шкала</t>
        </is>
      </c>
    </row>
    <row r="54">
      <c r="A54" s="5" t="inlineStr">
        <is>
          <t>F5</t>
        </is>
      </c>
      <c r="B54" s="6" t="inlineStr">
        <is>
          <t>Опишите типичную проблему во взаимодействии с центральным офисом (кроме ДУП)</t>
        </is>
      </c>
      <c r="C54" s="5" t="inlineStr">
        <is>
          <t>развёрнутый текст</t>
        </is>
      </c>
      <c r="D54" s="5" t="inlineStr">
        <is>
          <t>BE</t>
        </is>
      </c>
      <c r="E54" s="5" t="inlineStr">
        <is>
          <t>Открытый</t>
        </is>
      </c>
    </row>
    <row r="55">
      <c r="A55" s="5" t="inlineStr">
        <is>
          <t>G1</t>
        </is>
      </c>
      <c r="B55" s="6" t="inlineStr">
        <is>
          <t>Какие инструменты вы используете в ежедневной проектной работе? (можно несколько)</t>
        </is>
      </c>
      <c r="C55" s="5" t="inlineStr">
        <is>
          <t>несколько из списка</t>
        </is>
      </c>
      <c r="D55" s="5" t="inlineStr">
        <is>
          <t>BF</t>
        </is>
      </c>
      <c r="E55" s="5" t="inlineStr">
        <is>
          <t>—</t>
        </is>
      </c>
    </row>
    <row r="56">
      <c r="A56" s="5" t="inlineStr">
        <is>
          <t>G2</t>
        </is>
      </c>
      <c r="B56" s="6" t="inlineStr">
        <is>
          <t>Насколько полноценно работает платформа портфеля проектов (документация, бюджет план/факт, риски, задачи)?</t>
        </is>
      </c>
      <c r="C56" s="5" t="inlineStr">
        <is>
          <t>шкала 1–5</t>
        </is>
      </c>
      <c r="D56" s="5" t="inlineStr">
        <is>
          <t>BG</t>
        </is>
      </c>
      <c r="E56" s="5" t="inlineStr">
        <is>
          <t>Шкала</t>
        </is>
      </c>
    </row>
    <row r="57">
      <c r="A57" s="5" t="inlineStr">
        <is>
          <t>G3</t>
        </is>
      </c>
      <c r="B57" s="6" t="inlineStr">
        <is>
          <t>Чего не хватает в текущих IT-инструментах для вашей работы?</t>
        </is>
      </c>
      <c r="C57" s="5" t="inlineStr">
        <is>
          <t>несколько из списка</t>
        </is>
      </c>
      <c r="D57" s="5" t="inlineStr">
        <is>
          <t>BH</t>
        </is>
      </c>
      <c r="E57" s="5" t="inlineStr">
        <is>
          <t>—</t>
        </is>
      </c>
    </row>
    <row r="58">
      <c r="A58" s="5" t="inlineStr">
        <is>
          <t>G4</t>
        </is>
      </c>
      <c r="B58" s="6" t="inlineStr">
        <is>
          <t>Сколько времени в неделю уходит на ручной сбор данных и отчётность (вне системы)?</t>
        </is>
      </c>
      <c r="C58" s="5" t="inlineStr">
        <is>
          <t>один из списка</t>
        </is>
      </c>
      <c r="D58" s="5" t="inlineStr">
        <is>
          <t>BI</t>
        </is>
      </c>
      <c r="E58" s="5" t="inlineStr">
        <is>
          <t>Распределение</t>
        </is>
      </c>
    </row>
    <row r="59">
      <c r="A59" s="5" t="inlineStr">
        <is>
          <t>H1</t>
        </is>
      </c>
      <c r="B59" s="6" t="inlineStr">
        <is>
          <t>Назовите ТОП-3 проблемы в процессах, которые сильнее всего мешают работе филиала</t>
        </is>
      </c>
      <c r="C59" s="5" t="inlineStr">
        <is>
          <t>развёрнутый текст</t>
        </is>
      </c>
      <c r="D59" s="5" t="inlineStr">
        <is>
          <t>BJ</t>
        </is>
      </c>
      <c r="E59" s="5" t="inlineStr">
        <is>
          <t>Открытый</t>
        </is>
      </c>
    </row>
    <row r="60">
      <c r="A60" s="5" t="inlineStr">
        <is>
          <t>H2</t>
        </is>
      </c>
      <c r="B60" s="6" t="inlineStr">
        <is>
          <t>Назовите ТОП-3 процесса, которые нужно автоматизировать в первую очередь</t>
        </is>
      </c>
      <c r="C60" s="5" t="inlineStr">
        <is>
          <t>развёрнутый текст</t>
        </is>
      </c>
      <c r="D60" s="5" t="inlineStr">
        <is>
          <t>BK</t>
        </is>
      </c>
      <c r="E60" s="5" t="inlineStr">
        <is>
          <t>Открытый</t>
        </is>
      </c>
    </row>
    <row r="61">
      <c r="A61" s="5" t="inlineStr">
        <is>
          <t>H3</t>
        </is>
      </c>
      <c r="B61" s="6" t="inlineStr">
        <is>
          <t>Если бы вы могли изменить одну вещь в работе ДУП и филиалов — что бы это было?</t>
        </is>
      </c>
      <c r="C61" s="5" t="inlineStr">
        <is>
          <t>развёрнутый текст</t>
        </is>
      </c>
      <c r="D61" s="5" t="inlineStr">
        <is>
          <t>BL</t>
        </is>
      </c>
      <c r="E61" s="5" t="inlineStr">
        <is>
          <t>Открытый</t>
        </is>
      </c>
    </row>
    <row r="62">
      <c r="A62" s="5" t="inlineStr">
        <is>
          <t>H4</t>
        </is>
      </c>
      <c r="B62" s="6" t="inlineStr">
        <is>
          <t>Готовы ли вы участвовать в 30–45-минутном углублённом интервью для детализации ответов?</t>
        </is>
      </c>
      <c r="C62" s="5" t="inlineStr">
        <is>
          <t>да/нет</t>
        </is>
      </c>
      <c r="D62" s="5" t="inlineStr">
        <is>
          <t>BM</t>
        </is>
      </c>
      <c r="E62" s="5" t="inlineStr">
        <is>
          <t>Распределение</t>
        </is>
      </c>
    </row>
    <row r="63">
      <c r="A63" s="5" t="inlineStr">
        <is>
          <t>H5</t>
        </is>
      </c>
      <c r="B63" s="6" t="inlineStr">
        <is>
          <t>Контакт для связи (email / телефон) — если готовы к интервью</t>
        </is>
      </c>
      <c r="C63" s="5" t="inlineStr">
        <is>
          <t>текст</t>
        </is>
      </c>
      <c r="D63" s="5" t="inlineStr">
        <is>
          <t>BN</t>
        </is>
      </c>
      <c r="E63" s="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4" customWidth="1" min="4" max="4"/>
  </cols>
  <sheetData>
    <row r="1">
      <c r="A1" s="7" t="inlineStr">
        <is>
          <t>Сводный дашборд — опрос директоров филиалов</t>
        </is>
      </c>
    </row>
    <row r="3">
      <c r="A3" t="inlineStr">
        <is>
          <t>Количество ответов</t>
        </is>
      </c>
      <c r="B3">
        <f>COUNTA('Сырые ответы'!B:B)-1</f>
        <v/>
      </c>
    </row>
    <row r="4">
      <c r="A4" t="inlineStr">
        <is>
          <t>Дата последнего обновления</t>
        </is>
      </c>
      <c r="B4" s="8">
        <f>TODAY()</f>
        <v/>
      </c>
    </row>
    <row r="6">
      <c r="A6" s="4" t="inlineStr">
        <is>
          <t>Показатель</t>
        </is>
      </c>
      <c r="B6" s="4" t="inlineStr">
        <is>
          <t>Среднее</t>
        </is>
      </c>
      <c r="C6" s="4" t="inlineStr">
        <is>
          <t>Зона</t>
        </is>
      </c>
      <c r="D6" s="4" t="inlineStr">
        <is>
          <t>Комментарий</t>
        </is>
      </c>
    </row>
    <row r="7">
      <c r="A7" s="5" t="inlineStr">
        <is>
          <t>Понятность процесса реализации</t>
        </is>
      </c>
      <c r="B7" s="9">
        <f>IFERROR(AVERAGE('Сырые ответы'!K2:K500),"")</f>
        <v/>
      </c>
      <c r="C7" s="5">
        <f>IF(B7="","—",IF(B7&lt;=2.5,"🔴 Критично",IF(B7&lt;=3.5,"🟡 Внимание","🟢 Норма")))</f>
        <v/>
      </c>
      <c r="D7" s="5" t="inlineStr">
        <is>
          <t>Вопрос B1</t>
        </is>
      </c>
    </row>
    <row r="8">
      <c r="A8" s="5" t="inlineStr">
        <is>
          <t>Полнота пакета документов при старте</t>
        </is>
      </c>
      <c r="B8" s="9">
        <f>IFERROR(AVERAGE('Сырые ответы'!M2:M500),"")</f>
        <v/>
      </c>
      <c r="C8" s="5">
        <f>IF(B8="","—",IF(B8&lt;=2.5,"🔴 Критично",IF(B8&lt;=3.5,"🟡 Внимание","🟢 Норма")))</f>
        <v/>
      </c>
      <c r="D8" s="5" t="inlineStr">
        <is>
          <t>Вопрос B3</t>
        </is>
      </c>
    </row>
    <row r="9">
      <c r="A9" s="5" t="inlineStr">
        <is>
          <t>Согласование бюджета с Финблоком</t>
        </is>
      </c>
      <c r="B9" s="9">
        <f>IFERROR(AVERAGE('Сырые ответы'!P2:P500),"")</f>
        <v/>
      </c>
      <c r="C9" s="5">
        <f>IF(B9="","—",IF(B9&lt;=2.5,"🔴 Критично",IF(B9&lt;=3.5,"🟡 Внимание","🟢 Норма")))</f>
        <v/>
      </c>
      <c r="D9" s="5" t="inlineStr">
        <is>
          <t>Вопрос B6</t>
        </is>
      </c>
    </row>
    <row r="10">
      <c r="A10" s="5" t="inlineStr">
        <is>
          <t>Понятность сопровождения</t>
        </is>
      </c>
      <c r="B10" s="9">
        <f>IFERROR(AVERAGE('Сырые ответы'!V2:V500),"")</f>
        <v/>
      </c>
      <c r="C10" s="5">
        <f>IF(B10="","—",IF(B10&lt;=2.5,"🔴 Критично",IF(B10&lt;=3.5,"🟡 Внимание","🟢 Норма")))</f>
        <v/>
      </c>
      <c r="D10" s="5" t="inlineStr">
        <is>
          <t>Вопрос C1</t>
        </is>
      </c>
    </row>
    <row r="11">
      <c r="A11" s="5" t="inlineStr">
        <is>
          <t>Скорость реакции ДУП на проблемы</t>
        </is>
      </c>
      <c r="B11" s="9">
        <f>IFERROR(AVERAGE('Сырые ответы'!X2:X500),"")</f>
        <v/>
      </c>
      <c r="C11" s="5">
        <f>IF(B11="","—",IF(B11&lt;=2.5,"🔴 Критично",IF(B11&lt;=3.5,"🟡 Внимание","🟢 Норма")))</f>
        <v/>
      </c>
      <c r="D11" s="5" t="inlineStr">
        <is>
          <t>Вопрос C3</t>
        </is>
      </c>
    </row>
    <row r="12">
      <c r="A12" s="5" t="inlineStr">
        <is>
          <t>Обратная связь по дефектам компонентов</t>
        </is>
      </c>
      <c r="B12" s="9">
        <f>IFERROR(AVERAGE('Сырые ответы'!AA2:AA500),"")</f>
        <v/>
      </c>
      <c r="C12" s="5">
        <f>IF(B12="","—",IF(B12&lt;=2.5,"🔴 Критично",IF(B12&lt;=3.5,"🟡 Внимание","🟢 Норма")))</f>
        <v/>
      </c>
      <c r="D12" s="5" t="inlineStr">
        <is>
          <t>Вопрос C6</t>
        </is>
      </c>
    </row>
    <row r="13">
      <c r="A13" s="5" t="inlineStr">
        <is>
          <t>Понятность приоритизации платежей</t>
        </is>
      </c>
      <c r="B13" s="9">
        <f>IFERROR(AVERAGE('Сырые ответы'!AE2:AE500),"")</f>
        <v/>
      </c>
      <c r="C13" s="5">
        <f>IF(B13="","—",IF(B13&lt;=2.5,"🔴 Критично",IF(B13&lt;=3.5,"🟡 Внимание","🟢 Норма")))</f>
        <v/>
      </c>
      <c r="D13" s="5" t="inlineStr">
        <is>
          <t>Вопрос D2</t>
        </is>
      </c>
    </row>
    <row r="14">
      <c r="A14" s="5" t="inlineStr">
        <is>
          <t>Удобство прогноза поступлений/расходов</t>
        </is>
      </c>
      <c r="B14" s="9">
        <f>IFERROR(AVERAGE('Сырые ответы'!AI2:AI500),"")</f>
        <v/>
      </c>
      <c r="C14" s="5">
        <f>IF(B14="","—",IF(B14&lt;=2.5,"🔴 Критично",IF(B14&lt;=3.5,"🟡 Внимание","🟢 Норма")))</f>
        <v/>
      </c>
      <c r="D14" s="5" t="inlineStr">
        <is>
          <t>Вопрос D6</t>
        </is>
      </c>
    </row>
    <row r="15">
      <c r="A15" s="5" t="inlineStr">
        <is>
          <t>Разграничение ответственности филиал/ДУП</t>
        </is>
      </c>
      <c r="B15" s="9">
        <f>IFERROR(AVERAGE('Сырые ответы'!AL2:AL500),"")</f>
        <v/>
      </c>
      <c r="C15" s="5">
        <f>IF(B15="","—",IF(B15&lt;=2.5,"🔴 Критично",IF(B15&lt;=3.5,"🟡 Внимание","🟢 Норма")))</f>
        <v/>
      </c>
      <c r="D15" s="5" t="inlineStr">
        <is>
          <t>Вопрос E1</t>
        </is>
      </c>
    </row>
    <row r="16">
      <c r="A16" s="5" t="inlineStr">
        <is>
          <t>Понятность, к кому обращаться в ДУП</t>
        </is>
      </c>
      <c r="B16" s="9">
        <f>IFERROR(AVERAGE('Сырые ответы'!AM2:AM500),"")</f>
        <v/>
      </c>
      <c r="C16" s="5">
        <f>IF(B16="","—",IF(B16&lt;=2.5,"🔴 Критично",IF(B16&lt;=3.5,"🟡 Внимание","🟢 Норма")))</f>
        <v/>
      </c>
      <c r="D16" s="5" t="inlineStr">
        <is>
          <t>Вопрос E2</t>
        </is>
      </c>
    </row>
    <row r="17">
      <c r="A17" s="5" t="inlineStr">
        <is>
          <t>Качество коммуникации с куратором</t>
        </is>
      </c>
      <c r="B17" s="9">
        <f>IFERROR(AVERAGE('Сырые ответы'!AN2:AN500),"")</f>
        <v/>
      </c>
      <c r="C17" s="5">
        <f>IF(B17="","—",IF(B17&lt;=2.5,"🔴 Критично",IF(B17&lt;=3.5,"🟡 Внимание","🟢 Норма")))</f>
        <v/>
      </c>
      <c r="D17" s="5" t="inlineStr">
        <is>
          <t>Вопрос E3</t>
        </is>
      </c>
    </row>
    <row r="18">
      <c r="A18" s="5" t="inlineStr">
        <is>
          <t>Своевременность передачи от ДРБ</t>
        </is>
      </c>
      <c r="B18" s="9">
        <f>IFERROR(AVERAGE('Сырые ответы'!BC2:BC500),"")</f>
        <v/>
      </c>
      <c r="C18" s="5">
        <f>IF(B18="","—",IF(B18&lt;=2.5,"🔴 Критично",IF(B18&lt;=3.5,"🟡 Внимание","🟢 Норма")))</f>
        <v/>
      </c>
      <c r="D18" s="5" t="inlineStr">
        <is>
          <t>Вопрос F3</t>
        </is>
      </c>
    </row>
    <row r="19">
      <c r="A19" s="5" t="inlineStr">
        <is>
          <t>Оперативность Юр блока</t>
        </is>
      </c>
      <c r="B19" s="9">
        <f>IFERROR(AVERAGE('Сырые ответы'!BD2:BD500),"")</f>
        <v/>
      </c>
      <c r="C19" s="5">
        <f>IF(B19="","—",IF(B19&lt;=2.5,"🔴 Критично",IF(B19&lt;=3.5,"🟡 Внимание","🟢 Норма")))</f>
        <v/>
      </c>
      <c r="D19" s="5" t="inlineStr">
        <is>
          <t>Вопрос F4</t>
        </is>
      </c>
    </row>
    <row r="20">
      <c r="A20" s="5" t="inlineStr">
        <is>
          <t>Работоспособность платформы проектов</t>
        </is>
      </c>
      <c r="B20" s="9">
        <f>IFERROR(AVERAGE('Сырые ответы'!BG2:BG500),"")</f>
        <v/>
      </c>
      <c r="C20" s="5">
        <f>IF(B20="","—",IF(B20&lt;=2.5,"🔴 Критично",IF(B20&lt;=3.5,"🟡 Внимание","🟢 Норма")))</f>
        <v/>
      </c>
      <c r="D20" s="5" t="inlineStr">
        <is>
          <t>Вопрос G2</t>
        </is>
      </c>
    </row>
  </sheetData>
  <mergeCells count="1">
    <mergeCell ref="A1:D1"/>
  </mergeCells>
  <conditionalFormatting sqref="B7:B20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0" t="inlineStr">
        <is>
          <t>Детализация по шкалам 1–5 (распределение ответов)</t>
        </is>
      </c>
    </row>
    <row r="3">
      <c r="A3" s="4" t="inlineStr">
        <is>
          <t>ID</t>
        </is>
      </c>
      <c r="B3" s="4" t="inlineStr">
        <is>
          <t>Вопрос</t>
        </is>
      </c>
      <c r="C3" s="4" t="inlineStr">
        <is>
          <t>1</t>
        </is>
      </c>
      <c r="D3" s="4" t="inlineStr">
        <is>
          <t>2</t>
        </is>
      </c>
      <c r="E3" s="4" t="inlineStr">
        <is>
          <t>3</t>
        </is>
      </c>
      <c r="F3" s="4" t="inlineStr">
        <is>
          <t>4</t>
        </is>
      </c>
      <c r="G3" s="4" t="inlineStr">
        <is>
          <t>5</t>
        </is>
      </c>
      <c r="H3" s="4" t="inlineStr">
        <is>
          <t>Среднее</t>
        </is>
      </c>
      <c r="I3" s="4" t="inlineStr">
        <is>
          <t>N</t>
        </is>
      </c>
    </row>
    <row r="4">
      <c r="A4" t="inlineStr">
        <is>
          <t>B1</t>
        </is>
      </c>
      <c r="B4" s="11" t="inlineStr">
        <is>
          <t>Насколько понятен вам процесс запуска нового проекта в филиале (от получения поручения до сдачи объекта)?</t>
        </is>
      </c>
      <c r="C4">
        <f>COUNTIF('Сырые ответы'!K2:K500,1)</f>
        <v/>
      </c>
      <c r="D4">
        <f>COUNTIF('Сырые ответы'!K2:K500,2)</f>
        <v/>
      </c>
      <c r="E4">
        <f>COUNTIF('Сырые ответы'!K2:K500,3)</f>
        <v/>
      </c>
      <c r="F4">
        <f>COUNTIF('Сырые ответы'!K2:K500,4)</f>
        <v/>
      </c>
      <c r="G4">
        <f>COUNTIF('Сырые ответы'!K2:K500,5)</f>
        <v/>
      </c>
      <c r="H4">
        <f>IFERROR(AVERAGE('Сырые ответы'!K2:K500),"")</f>
        <v/>
      </c>
      <c r="I4">
        <f>COUNT('Сырые ответы'!K2:K500)</f>
        <v/>
      </c>
    </row>
    <row r="5">
      <c r="A5" t="inlineStr">
        <is>
          <t>B3</t>
        </is>
      </c>
      <c r="B5" s="11" t="inlineStr">
        <is>
          <t>Достаточно ли полным приходит пакет документов при старте проекта (договор, ФЭМ, ТЗ, адресная программа и т.д.)?</t>
        </is>
      </c>
      <c r="C5">
        <f>COUNTIF('Сырые ответы'!M2:M500,1)</f>
        <v/>
      </c>
      <c r="D5">
        <f>COUNTIF('Сырые ответы'!M2:M500,2)</f>
        <v/>
      </c>
      <c r="E5">
        <f>COUNTIF('Сырые ответы'!M2:M500,3)</f>
        <v/>
      </c>
      <c r="F5">
        <f>COUNTIF('Сырые ответы'!M2:M500,4)</f>
        <v/>
      </c>
      <c r="G5">
        <f>COUNTIF('Сырые ответы'!M2:M500,5)</f>
        <v/>
      </c>
      <c r="H5">
        <f>IFERROR(AVERAGE('Сырые ответы'!M2:M500),"")</f>
        <v/>
      </c>
      <c r="I5">
        <f>COUNT('Сырые ответы'!M2:M500)</f>
        <v/>
      </c>
    </row>
    <row r="6">
      <c r="A6" t="inlineStr">
        <is>
          <t>B6</t>
        </is>
      </c>
      <c r="B6" s="11" t="inlineStr">
        <is>
          <t>Насколько сложно согласовать бюджет проекта с Финблоком через ДУП?</t>
        </is>
      </c>
      <c r="C6">
        <f>COUNTIF('Сырые ответы'!P2:P500,1)</f>
        <v/>
      </c>
      <c r="D6">
        <f>COUNTIF('Сырые ответы'!P2:P500,2)</f>
        <v/>
      </c>
      <c r="E6">
        <f>COUNTIF('Сырые ответы'!P2:P500,3)</f>
        <v/>
      </c>
      <c r="F6">
        <f>COUNTIF('Сырые ответы'!P2:P500,4)</f>
        <v/>
      </c>
      <c r="G6">
        <f>COUNTIF('Сырые ответы'!P2:P500,5)</f>
        <v/>
      </c>
      <c r="H6">
        <f>IFERROR(AVERAGE('Сырые ответы'!P2:P500),"")</f>
        <v/>
      </c>
      <c r="I6">
        <f>COUNT('Сырые ответы'!P2:P500)</f>
        <v/>
      </c>
    </row>
    <row r="7">
      <c r="A7" t="inlineStr">
        <is>
          <t>C1</t>
        </is>
      </c>
      <c r="B7" s="11" t="inlineStr">
        <is>
          <t>Насколько понятен процесс сопровождения действующих проектов после ввода в эксплуатацию?</t>
        </is>
      </c>
      <c r="C7">
        <f>COUNTIF('Сырые ответы'!V2:V500,1)</f>
        <v/>
      </c>
      <c r="D7">
        <f>COUNTIF('Сырые ответы'!V2:V500,2)</f>
        <v/>
      </c>
      <c r="E7">
        <f>COUNTIF('Сырые ответы'!V2:V500,3)</f>
        <v/>
      </c>
      <c r="F7">
        <f>COUNTIF('Сырые ответы'!V2:V500,4)</f>
        <v/>
      </c>
      <c r="G7">
        <f>COUNTIF('Сырые ответы'!V2:V500,5)</f>
        <v/>
      </c>
      <c r="H7">
        <f>IFERROR(AVERAGE('Сырые ответы'!V2:V500),"")</f>
        <v/>
      </c>
      <c r="I7">
        <f>COUNT('Сырые ответы'!V2:V500)</f>
        <v/>
      </c>
    </row>
    <row r="8">
      <c r="A8" t="inlineStr">
        <is>
          <t>C3</t>
        </is>
      </c>
      <c r="B8" s="11" t="inlineStr">
        <is>
          <t>Насколько своевременно ДУП реагирует на операционные проблемы (инциденты, простои, претензии госпартнёра)?</t>
        </is>
      </c>
      <c r="C8">
        <f>COUNTIF('Сырые ответы'!X2:X500,1)</f>
        <v/>
      </c>
      <c r="D8">
        <f>COUNTIF('Сырые ответы'!X2:X500,2)</f>
        <v/>
      </c>
      <c r="E8">
        <f>COUNTIF('Сырые ответы'!X2:X500,3)</f>
        <v/>
      </c>
      <c r="F8">
        <f>COUNTIF('Сырые ответы'!X2:X500,4)</f>
        <v/>
      </c>
      <c r="G8">
        <f>COUNTIF('Сырые ответы'!X2:X500,5)</f>
        <v/>
      </c>
      <c r="H8">
        <f>IFERROR(AVERAGE('Сырые ответы'!X2:X500),"")</f>
        <v/>
      </c>
      <c r="I8">
        <f>COUNT('Сырые ответы'!X2:X500)</f>
        <v/>
      </c>
    </row>
    <row r="9">
      <c r="A9" t="inlineStr">
        <is>
          <t>C6</t>
        </is>
      </c>
      <c r="B9" s="11" t="inlineStr">
        <is>
          <t>Насколько налажен процесс передачи информации о дефектах компонентов (от монтажников/эксплуатации к закупкам/ТЗ)?</t>
        </is>
      </c>
      <c r="C9">
        <f>COUNTIF('Сырые ответы'!AA2:AA500,1)</f>
        <v/>
      </c>
      <c r="D9">
        <f>COUNTIF('Сырые ответы'!AA2:AA500,2)</f>
        <v/>
      </c>
      <c r="E9">
        <f>COUNTIF('Сырые ответы'!AA2:AA500,3)</f>
        <v/>
      </c>
      <c r="F9">
        <f>COUNTIF('Сырые ответы'!AA2:AA500,4)</f>
        <v/>
      </c>
      <c r="G9">
        <f>COUNTIF('Сырые ответы'!AA2:AA500,5)</f>
        <v/>
      </c>
      <c r="H9">
        <f>IFERROR(AVERAGE('Сырые ответы'!AA2:AA500),"")</f>
        <v/>
      </c>
      <c r="I9">
        <f>COUNT('Сырые ответы'!AA2:AA500)</f>
        <v/>
      </c>
    </row>
    <row r="10">
      <c r="A10" t="inlineStr">
        <is>
          <t>D2</t>
        </is>
      </c>
      <c r="B10" s="11" t="inlineStr">
        <is>
          <t>Насколько понятен процесс приоритизации платежей (филиал → ДУП → Финблок)?</t>
        </is>
      </c>
      <c r="C10">
        <f>COUNTIF('Сырые ответы'!AE2:AE500,1)</f>
        <v/>
      </c>
      <c r="D10">
        <f>COUNTIF('Сырые ответы'!AE2:AE500,2)</f>
        <v/>
      </c>
      <c r="E10">
        <f>COUNTIF('Сырые ответы'!AE2:AE500,3)</f>
        <v/>
      </c>
      <c r="F10">
        <f>COUNTIF('Сырые ответы'!AE2:AE500,4)</f>
        <v/>
      </c>
      <c r="G10">
        <f>COUNTIF('Сырые ответы'!AE2:AE500,5)</f>
        <v/>
      </c>
      <c r="H10">
        <f>IFERROR(AVERAGE('Сырые ответы'!AE2:AE500),"")</f>
        <v/>
      </c>
      <c r="I10">
        <f>COUNT('Сырые ответы'!AE2:AE500)</f>
        <v/>
      </c>
    </row>
    <row r="11">
      <c r="A11" t="inlineStr">
        <is>
          <t>D6</t>
        </is>
      </c>
      <c r="B11" s="11" t="inlineStr">
        <is>
          <t>Насколько удобен текущий формат обмена данными по прогнозу поступлений/расходов с Финблоком?</t>
        </is>
      </c>
      <c r="C11">
        <f>COUNTIF('Сырые ответы'!AI2:AI500,1)</f>
        <v/>
      </c>
      <c r="D11">
        <f>COUNTIF('Сырые ответы'!AI2:AI500,2)</f>
        <v/>
      </c>
      <c r="E11">
        <f>COUNTIF('Сырые ответы'!AI2:AI500,3)</f>
        <v/>
      </c>
      <c r="F11">
        <f>COUNTIF('Сырые ответы'!AI2:AI500,4)</f>
        <v/>
      </c>
      <c r="G11">
        <f>COUNTIF('Сырые ответы'!AI2:AI500,5)</f>
        <v/>
      </c>
      <c r="H11">
        <f>IFERROR(AVERAGE('Сырые ответы'!AI2:AI500),"")</f>
        <v/>
      </c>
      <c r="I11">
        <f>COUNT('Сырые ответы'!AI2:AI500)</f>
        <v/>
      </c>
    </row>
    <row r="12">
      <c r="A12" t="inlineStr">
        <is>
          <t>E1</t>
        </is>
      </c>
      <c r="B12" s="11" t="inlineStr">
        <is>
          <t>Насколько чётко разграничены зоны ответственности между филиалом и ДУП?</t>
        </is>
      </c>
      <c r="C12">
        <f>COUNTIF('Сырые ответы'!AL2:AL500,1)</f>
        <v/>
      </c>
      <c r="D12">
        <f>COUNTIF('Сырые ответы'!AL2:AL500,2)</f>
        <v/>
      </c>
      <c r="E12">
        <f>COUNTIF('Сырые ответы'!AL2:AL500,3)</f>
        <v/>
      </c>
      <c r="F12">
        <f>COUNTIF('Сырые ответы'!AL2:AL500,4)</f>
        <v/>
      </c>
      <c r="G12">
        <f>COUNTIF('Сырые ответы'!AL2:AL500,5)</f>
        <v/>
      </c>
      <c r="H12">
        <f>IFERROR(AVERAGE('Сырые ответы'!AL2:AL500),"")</f>
        <v/>
      </c>
      <c r="I12">
        <f>COUNT('Сырые ответы'!AL2:AL500)</f>
        <v/>
      </c>
    </row>
    <row r="13">
      <c r="A13" t="inlineStr">
        <is>
          <t>E2</t>
        </is>
      </c>
      <c r="B13" s="11" t="inlineStr">
        <is>
          <t>Понимаете ли вы, к кому в ДУП обращаться по разным типам вопросов (реализация / сопровождение / финансы / методология)?</t>
        </is>
      </c>
      <c r="C13">
        <f>COUNTIF('Сырые ответы'!AM2:AM500,1)</f>
        <v/>
      </c>
      <c r="D13">
        <f>COUNTIF('Сырые ответы'!AM2:AM500,2)</f>
        <v/>
      </c>
      <c r="E13">
        <f>COUNTIF('Сырые ответы'!AM2:AM500,3)</f>
        <v/>
      </c>
      <c r="F13">
        <f>COUNTIF('Сырые ответы'!AM2:AM500,4)</f>
        <v/>
      </c>
      <c r="G13">
        <f>COUNTIF('Сырые ответы'!AM2:AM500,5)</f>
        <v/>
      </c>
      <c r="H13">
        <f>IFERROR(AVERAGE('Сырые ответы'!AM2:AM500),"")</f>
        <v/>
      </c>
      <c r="I13">
        <f>COUNT('Сырые ответы'!AM2:AM500)</f>
        <v/>
      </c>
    </row>
    <row r="14">
      <c r="A14" t="inlineStr">
        <is>
          <t>E3</t>
        </is>
      </c>
      <c r="B14" s="11" t="inlineStr">
        <is>
          <t>Как вы оцениваете качество коммуникации с куратором ДУП?</t>
        </is>
      </c>
      <c r="C14">
        <f>COUNTIF('Сырые ответы'!AN2:AN500,1)</f>
        <v/>
      </c>
      <c r="D14">
        <f>COUNTIF('Сырые ответы'!AN2:AN500,2)</f>
        <v/>
      </c>
      <c r="E14">
        <f>COUNTIF('Сырые ответы'!AN2:AN500,3)</f>
        <v/>
      </c>
      <c r="F14">
        <f>COUNTIF('Сырые ответы'!AN2:AN500,4)</f>
        <v/>
      </c>
      <c r="G14">
        <f>COUNTIF('Сырые ответы'!AN2:AN500,5)</f>
        <v/>
      </c>
      <c r="H14">
        <f>IFERROR(AVERAGE('Сырые ответы'!AN2:AN500),"")</f>
        <v/>
      </c>
      <c r="I14">
        <f>COUNT('Сырые ответы'!AN2:AN500)</f>
        <v/>
      </c>
    </row>
    <row r="15">
      <c r="A15" t="inlineStr">
        <is>
          <t>F3</t>
        </is>
      </c>
      <c r="B15" s="11" t="inlineStr">
        <is>
          <t>Насколько своевременно ДРБ передаёт проекты с полным пакетом документов?</t>
        </is>
      </c>
      <c r="C15">
        <f>COUNTIF('Сырые ответы'!BC2:BC500,1)</f>
        <v/>
      </c>
      <c r="D15">
        <f>COUNTIF('Сырые ответы'!BC2:BC500,2)</f>
        <v/>
      </c>
      <c r="E15">
        <f>COUNTIF('Сырые ответы'!BC2:BC500,3)</f>
        <v/>
      </c>
      <c r="F15">
        <f>COUNTIF('Сырые ответы'!BC2:BC500,4)</f>
        <v/>
      </c>
      <c r="G15">
        <f>COUNTIF('Сырые ответы'!BC2:BC500,5)</f>
        <v/>
      </c>
      <c r="H15">
        <f>IFERROR(AVERAGE('Сырые ответы'!BC2:BC500),"")</f>
        <v/>
      </c>
      <c r="I15">
        <f>COUNT('Сырые ответы'!BC2:BC500)</f>
        <v/>
      </c>
    </row>
    <row r="16">
      <c r="A16" t="inlineStr">
        <is>
          <t>F4</t>
        </is>
      </c>
      <c r="B16" s="11" t="inlineStr">
        <is>
          <t>Насколько оперативно Юр блок сопровождает договоры и открытие филиала?</t>
        </is>
      </c>
      <c r="C16">
        <f>COUNTIF('Сырые ответы'!BD2:BD500,1)</f>
        <v/>
      </c>
      <c r="D16">
        <f>COUNTIF('Сырые ответы'!BD2:BD500,2)</f>
        <v/>
      </c>
      <c r="E16">
        <f>COUNTIF('Сырые ответы'!BD2:BD500,3)</f>
        <v/>
      </c>
      <c r="F16">
        <f>COUNTIF('Сырые ответы'!BD2:BD500,4)</f>
        <v/>
      </c>
      <c r="G16">
        <f>COUNTIF('Сырые ответы'!BD2:BD500,5)</f>
        <v/>
      </c>
      <c r="H16">
        <f>IFERROR(AVERAGE('Сырые ответы'!BD2:BD500),"")</f>
        <v/>
      </c>
      <c r="I16">
        <f>COUNT('Сырые ответы'!BD2:BD500)</f>
        <v/>
      </c>
    </row>
    <row r="17">
      <c r="A17" t="inlineStr">
        <is>
          <t>G2</t>
        </is>
      </c>
      <c r="B17" s="11" t="inlineStr">
        <is>
          <t>Насколько полноценно работает платформа портфеля проектов (документация, бюджет план/факт, риски, задачи)?</t>
        </is>
      </c>
      <c r="C17">
        <f>COUNTIF('Сырые ответы'!BG2:BG500,1)</f>
        <v/>
      </c>
      <c r="D17">
        <f>COUNTIF('Сырые ответы'!BG2:BG500,2)</f>
        <v/>
      </c>
      <c r="E17">
        <f>COUNTIF('Сырые ответы'!BG2:BG500,3)</f>
        <v/>
      </c>
      <c r="F17">
        <f>COUNTIF('Сырые ответы'!BG2:BG500,4)</f>
        <v/>
      </c>
      <c r="G17">
        <f>COUNTIF('Сырые ответы'!BG2:BG500,5)</f>
        <v/>
      </c>
      <c r="H17">
        <f>IFERROR(AVERAGE('Сырые ответы'!BG2:BG500),"")</f>
        <v/>
      </c>
      <c r="I17">
        <f>COUNT('Сырые ответы'!BG2:BG500)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0" t="inlineStr">
        <is>
          <t>Оценки взаимодействия с подразделениями ЦО (вопрос F1)</t>
        </is>
      </c>
    </row>
    <row r="3">
      <c r="A3" s="4" t="inlineStr">
        <is>
          <t>Подразделение</t>
        </is>
      </c>
      <c r="B3" s="4" t="inlineStr">
        <is>
          <t>Средняя оценка</t>
        </is>
      </c>
      <c r="C3" s="4" t="inlineStr">
        <is>
          <t>N ответов</t>
        </is>
      </c>
      <c r="D3" s="4" t="inlineStr">
        <is>
          <t>Зона</t>
        </is>
      </c>
    </row>
    <row r="4">
      <c r="A4" t="inlineStr">
        <is>
          <t>ДРБ</t>
        </is>
      </c>
      <c r="B4">
        <f>IFERROR(AVERAGE('Сырые ответы'!AT2:AT500),"")</f>
        <v/>
      </c>
      <c r="C4">
        <f>COUNT('Сырые ответы'!AT2:AT500)</f>
        <v/>
      </c>
      <c r="D4">
        <f>IF(B4="","—",IF(B4&lt;=2.5,"🔴",IF(B4&lt;=3.5,"🟡","🟢")))</f>
        <v/>
      </c>
    </row>
    <row r="5">
      <c r="A5" t="inlineStr">
        <is>
          <t>Финблок</t>
        </is>
      </c>
      <c r="B5">
        <f>IFERROR(AVERAGE('Сырые ответы'!AU2:AU500),"")</f>
        <v/>
      </c>
      <c r="C5">
        <f>COUNT('Сырые ответы'!AU2:AU500)</f>
        <v/>
      </c>
      <c r="D5">
        <f>IF(B5="","—",IF(B5&lt;=2.5,"🔴",IF(B5&lt;=3.5,"🟡","🟢")))</f>
        <v/>
      </c>
    </row>
    <row r="6">
      <c r="A6" t="inlineStr">
        <is>
          <t>Юр блок</t>
        </is>
      </c>
      <c r="B6">
        <f>IFERROR(AVERAGE('Сырые ответы'!AV2:AV500),"")</f>
        <v/>
      </c>
      <c r="C6">
        <f>COUNT('Сырые ответы'!AV2:AV500)</f>
        <v/>
      </c>
      <c r="D6">
        <f>IF(B6="","—",IF(B6&lt;=2.5,"🔴",IF(B6&lt;=3.5,"🟡","🟢")))</f>
        <v/>
      </c>
    </row>
    <row r="7">
      <c r="A7" t="inlineStr">
        <is>
          <t>Закупки (ОЛЖА)</t>
        </is>
      </c>
      <c r="B7">
        <f>IFERROR(AVERAGE('Сырые ответы'!AW2:AW500),"")</f>
        <v/>
      </c>
      <c r="C7">
        <f>COUNT('Сырые ответы'!AW2:AW500)</f>
        <v/>
      </c>
      <c r="D7">
        <f>IF(B7="","—",IF(B7&lt;=2.5,"🔴",IF(B7&lt;=3.5,"🟡","🟢")))</f>
        <v/>
      </c>
    </row>
    <row r="8">
      <c r="A8" t="inlineStr">
        <is>
          <t>СТ (тех. блок)</t>
        </is>
      </c>
      <c r="B8">
        <f>IFERROR(AVERAGE('Сырые ответы'!AX2:AX500),"")</f>
        <v/>
      </c>
      <c r="C8">
        <f>COUNT('Сырые ответы'!AX2:AX500)</f>
        <v/>
      </c>
      <c r="D8">
        <f>IF(B8="","—",IF(B8&lt;=2.5,"🔴",IF(B8&lt;=3.5,"🟡","🟢")))</f>
        <v/>
      </c>
    </row>
    <row r="9">
      <c r="A9" t="inlineStr">
        <is>
          <t>Зерек / Zerek Road tech</t>
        </is>
      </c>
      <c r="B9">
        <f>IFERROR(AVERAGE('Сырые ответы'!AY2:AY500),"")</f>
        <v/>
      </c>
      <c r="C9">
        <f>COUNT('Сырые ответы'!AY2:AY500)</f>
        <v/>
      </c>
      <c r="D9">
        <f>IF(B9="","—",IF(B9&lt;=2.5,"🔴",IF(B9&lt;=3.5,"🟡","🟢")))</f>
        <v/>
      </c>
    </row>
    <row r="10">
      <c r="A10" t="inlineStr">
        <is>
          <t>HR</t>
        </is>
      </c>
      <c r="B10">
        <f>IFERROR(AVERAGE('Сырые ответы'!AZ2:AZ500),"")</f>
        <v/>
      </c>
      <c r="C10">
        <f>COUNT('Сырые ответы'!AZ2:AZ500)</f>
        <v/>
      </c>
      <c r="D10">
        <f>IF(B10="","—",IF(B10&lt;=2.5,"🔴",IF(B10&lt;=3.5,"🟡","🟢")))</f>
        <v/>
      </c>
    </row>
    <row r="11">
      <c r="A11" t="inlineStr">
        <is>
          <t>Лаборатория (поверка)</t>
        </is>
      </c>
      <c r="B11">
        <f>IFERROR(AVERAGE('Сырые ответы'!BA2:BA500),"")</f>
        <v/>
      </c>
      <c r="C11">
        <f>COUNT('Сырые ответы'!BA2:BA500)</f>
        <v/>
      </c>
      <c r="D11">
        <f>IF(B11="","—",IF(B11&lt;=2.5,"🔴",IF(B11&lt;=3.5,"🟡","🟢")))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8" customWidth="1" min="3" max="3"/>
  </cols>
  <sheetData>
    <row r="1">
      <c r="A1" s="10" t="inlineStr">
        <is>
          <t>Ключевые категориальные вопросы — частота ответов</t>
        </is>
      </c>
    </row>
    <row r="3">
      <c r="A3" s="12" t="inlineStr">
        <is>
          <t>B7: Задержки закупок</t>
        </is>
      </c>
    </row>
    <row r="4">
      <c r="A4" s="4" t="inlineStr">
        <is>
          <t>Вариант ответа</t>
        </is>
      </c>
      <c r="B4" s="4" t="inlineStr">
        <is>
          <t>Кол-во</t>
        </is>
      </c>
      <c r="C4" s="4" t="inlineStr">
        <is>
          <t>%</t>
        </is>
      </c>
    </row>
    <row r="7">
      <c r="A7" s="12" t="inlineStr">
        <is>
          <t>D3: Задержки платежей</t>
        </is>
      </c>
    </row>
    <row r="8">
      <c r="A8" s="4" t="inlineStr">
        <is>
          <t>Вариант ответа</t>
        </is>
      </c>
      <c r="B8" s="4" t="inlineStr">
        <is>
          <t>Кол-во</t>
        </is>
      </c>
      <c r="C8" s="4" t="inlineStr">
        <is>
          <t>%</t>
        </is>
      </c>
    </row>
    <row r="11">
      <c r="A11" s="12" t="inlineStr">
        <is>
          <t>D5: Участие в прогнозе поступлений</t>
        </is>
      </c>
    </row>
    <row r="12">
      <c r="A12" s="4" t="inlineStr">
        <is>
          <t>Вариант ответа</t>
        </is>
      </c>
      <c r="B12" s="4" t="inlineStr">
        <is>
          <t>Кол-во</t>
        </is>
      </c>
      <c r="C12" s="4" t="inlineStr">
        <is>
          <t>%</t>
        </is>
      </c>
    </row>
    <row r="15">
      <c r="A15" s="12" t="inlineStr">
        <is>
          <t>E5: Эскалации в обход ДУП</t>
        </is>
      </c>
    </row>
    <row r="16">
      <c r="A16" s="4" t="inlineStr">
        <is>
          <t>Вариант ответа</t>
        </is>
      </c>
      <c r="B16" s="4" t="inlineStr">
        <is>
          <t>Кол-во</t>
        </is>
      </c>
      <c r="C16" s="4" t="inlineStr">
        <is>
          <t>%</t>
        </is>
      </c>
    </row>
    <row r="19">
      <c r="A19" s="12" t="inlineStr">
        <is>
          <t>C4: Продукт без пилота</t>
        </is>
      </c>
    </row>
    <row r="20">
      <c r="A20" s="4" t="inlineStr">
        <is>
          <t>Вариант ответа</t>
        </is>
      </c>
      <c r="B20" s="4" t="inlineStr">
        <is>
          <t>Кол-во</t>
        </is>
      </c>
      <c r="C20" s="4" t="inlineStr">
        <is>
          <t>%</t>
        </is>
      </c>
    </row>
    <row r="23">
      <c r="A23" s="12" t="inlineStr">
        <is>
          <t>G4: Часы на ручную отчётность</t>
        </is>
      </c>
    </row>
    <row r="24">
      <c r="A24" s="4" t="inlineStr">
        <is>
          <t>Вариант ответа</t>
        </is>
      </c>
      <c r="B24" s="4" t="inlineStr">
        <is>
          <t>Кол-во</t>
        </is>
      </c>
      <c r="C24" s="4" t="inlineStr">
        <is>
          <t>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8" customWidth="1" min="3" max="3"/>
    <col width="55" customWidth="1" min="4" max="4"/>
    <col width="22" customWidth="1" min="5" max="5"/>
    <col width="12" customWidth="1" min="6" max="6"/>
  </cols>
  <sheetData>
    <row r="1">
      <c r="A1" s="10" t="inlineStr">
        <is>
          <t>Открытые ответы — боли, предложения, блокеры (для ручной кластеризации)</t>
        </is>
      </c>
    </row>
    <row r="2">
      <c r="A2" t="inlineStr">
        <is>
          <t>Отфильтруйте столбец D (скрыть пустые) для просмотра только заполненных ответов</t>
        </is>
      </c>
    </row>
    <row r="3">
      <c r="A3" s="4" t="inlineStr">
        <is>
          <t>Филиал</t>
        </is>
      </c>
      <c r="B3" s="4" t="inlineStr">
        <is>
          <t>ID вопроса</t>
        </is>
      </c>
      <c r="C3" s="4" t="inlineStr">
        <is>
          <t>Тема</t>
        </is>
      </c>
      <c r="D3" s="4" t="inlineStr">
        <is>
          <t>Цитата / ответ</t>
        </is>
      </c>
      <c r="E3" s="4" t="inlineStr">
        <is>
          <t>Категория (заполнить)</t>
        </is>
      </c>
      <c r="F3" s="4" t="inlineStr">
        <is>
          <t>Приоритет</t>
        </is>
      </c>
    </row>
    <row r="4">
      <c r="A4">
        <f>'Сырые ответы'!B2</f>
        <v/>
      </c>
      <c r="B4" t="inlineStr">
        <is>
          <t>B11</t>
        </is>
      </c>
      <c r="C4" t="inlineStr">
        <is>
          <t>Блокеры реализации</t>
        </is>
      </c>
      <c r="D4">
        <f>IF('Сырые ответы'!U2="","",'Сырые ответы'!U2)</f>
        <v/>
      </c>
    </row>
    <row r="5">
      <c r="A5">
        <f>'Сырые ответы'!B3</f>
        <v/>
      </c>
      <c r="B5" t="inlineStr">
        <is>
          <t>B11</t>
        </is>
      </c>
      <c r="C5" t="inlineStr">
        <is>
          <t>Блокеры реализации</t>
        </is>
      </c>
      <c r="D5">
        <f>IF('Сырые ответы'!U3="","",'Сырые ответы'!U3)</f>
        <v/>
      </c>
    </row>
    <row r="6">
      <c r="A6">
        <f>'Сырые ответы'!B4</f>
        <v/>
      </c>
      <c r="B6" t="inlineStr">
        <is>
          <t>B11</t>
        </is>
      </c>
      <c r="C6" t="inlineStr">
        <is>
          <t>Блокеры реализации</t>
        </is>
      </c>
      <c r="D6">
        <f>IF('Сырые ответы'!U4="","",'Сырые ответы'!U4)</f>
        <v/>
      </c>
    </row>
    <row r="7">
      <c r="A7">
        <f>'Сырые ответы'!B5</f>
        <v/>
      </c>
      <c r="B7" t="inlineStr">
        <is>
          <t>B11</t>
        </is>
      </c>
      <c r="C7" t="inlineStr">
        <is>
          <t>Блокеры реализации</t>
        </is>
      </c>
      <c r="D7">
        <f>IF('Сырые ответы'!U5="","",'Сырые ответы'!U5)</f>
        <v/>
      </c>
    </row>
    <row r="8">
      <c r="A8">
        <f>'Сырые ответы'!B6</f>
        <v/>
      </c>
      <c r="B8" t="inlineStr">
        <is>
          <t>B11</t>
        </is>
      </c>
      <c r="C8" t="inlineStr">
        <is>
          <t>Блокеры реализации</t>
        </is>
      </c>
      <c r="D8">
        <f>IF('Сырые ответы'!U6="","",'Сырые ответы'!U6)</f>
        <v/>
      </c>
    </row>
    <row r="9">
      <c r="A9">
        <f>'Сырые ответы'!B7</f>
        <v/>
      </c>
      <c r="B9" t="inlineStr">
        <is>
          <t>B11</t>
        </is>
      </c>
      <c r="C9" t="inlineStr">
        <is>
          <t>Блокеры реализации</t>
        </is>
      </c>
      <c r="D9">
        <f>IF('Сырые ответы'!U7="","",'Сырые ответы'!U7)</f>
        <v/>
      </c>
    </row>
    <row r="10">
      <c r="A10">
        <f>'Сырые ответы'!B8</f>
        <v/>
      </c>
      <c r="B10" t="inlineStr">
        <is>
          <t>B11</t>
        </is>
      </c>
      <c r="C10" t="inlineStr">
        <is>
          <t>Блокеры реализации</t>
        </is>
      </c>
      <c r="D10">
        <f>IF('Сырые ответы'!U8="","",'Сырые ответы'!U8)</f>
        <v/>
      </c>
    </row>
    <row r="11">
      <c r="A11">
        <f>'Сырые ответы'!B9</f>
        <v/>
      </c>
      <c r="B11" t="inlineStr">
        <is>
          <t>B11</t>
        </is>
      </c>
      <c r="C11" t="inlineStr">
        <is>
          <t>Блокеры реализации</t>
        </is>
      </c>
      <c r="D11">
        <f>IF('Сырые ответы'!U9="","",'Сырые ответы'!U9)</f>
        <v/>
      </c>
    </row>
    <row r="12">
      <c r="A12">
        <f>'Сырые ответы'!B10</f>
        <v/>
      </c>
      <c r="B12" t="inlineStr">
        <is>
          <t>B11</t>
        </is>
      </c>
      <c r="C12" t="inlineStr">
        <is>
          <t>Блокеры реализации</t>
        </is>
      </c>
      <c r="D12">
        <f>IF('Сырые ответы'!U10="","",'Сырые ответы'!U10)</f>
        <v/>
      </c>
    </row>
    <row r="13">
      <c r="A13">
        <f>'Сырые ответы'!B11</f>
        <v/>
      </c>
      <c r="B13" t="inlineStr">
        <is>
          <t>B11</t>
        </is>
      </c>
      <c r="C13" t="inlineStr">
        <is>
          <t>Блокеры реализации</t>
        </is>
      </c>
      <c r="D13">
        <f>IF('Сырые ответы'!U11="","",'Сырые ответы'!U11)</f>
        <v/>
      </c>
    </row>
    <row r="14">
      <c r="A14">
        <f>'Сырые ответы'!B12</f>
        <v/>
      </c>
      <c r="B14" t="inlineStr">
        <is>
          <t>B11</t>
        </is>
      </c>
      <c r="C14" t="inlineStr">
        <is>
          <t>Блокеры реализации</t>
        </is>
      </c>
      <c r="D14">
        <f>IF('Сырые ответы'!U12="","",'Сырые ответы'!U12)</f>
        <v/>
      </c>
    </row>
    <row r="15">
      <c r="A15">
        <f>'Сырые ответы'!B13</f>
        <v/>
      </c>
      <c r="B15" t="inlineStr">
        <is>
          <t>B11</t>
        </is>
      </c>
      <c r="C15" t="inlineStr">
        <is>
          <t>Блокеры реализации</t>
        </is>
      </c>
      <c r="D15">
        <f>IF('Сырые ответы'!U13="","",'Сырые ответы'!U13)</f>
        <v/>
      </c>
    </row>
    <row r="16">
      <c r="A16">
        <f>'Сырые ответы'!B14</f>
        <v/>
      </c>
      <c r="B16" t="inlineStr">
        <is>
          <t>B11</t>
        </is>
      </c>
      <c r="C16" t="inlineStr">
        <is>
          <t>Блокеры реализации</t>
        </is>
      </c>
      <c r="D16">
        <f>IF('Сырые ответы'!U14="","",'Сырые ответы'!U14)</f>
        <v/>
      </c>
    </row>
    <row r="17">
      <c r="A17">
        <f>'Сырые ответы'!B15</f>
        <v/>
      </c>
      <c r="B17" t="inlineStr">
        <is>
          <t>B11</t>
        </is>
      </c>
      <c r="C17" t="inlineStr">
        <is>
          <t>Блокеры реализации</t>
        </is>
      </c>
      <c r="D17">
        <f>IF('Сырые ответы'!U15="","",'Сырые ответы'!U15)</f>
        <v/>
      </c>
    </row>
    <row r="18">
      <c r="A18">
        <f>'Сырые ответы'!B16</f>
        <v/>
      </c>
      <c r="B18" t="inlineStr">
        <is>
          <t>B11</t>
        </is>
      </c>
      <c r="C18" t="inlineStr">
        <is>
          <t>Блокеры реализации</t>
        </is>
      </c>
      <c r="D18">
        <f>IF('Сырые ответы'!U16="","",'Сырые ответы'!U16)</f>
        <v/>
      </c>
    </row>
    <row r="19">
      <c r="A19">
        <f>'Сырые ответы'!B17</f>
        <v/>
      </c>
      <c r="B19" t="inlineStr">
        <is>
          <t>B11</t>
        </is>
      </c>
      <c r="C19" t="inlineStr">
        <is>
          <t>Блокеры реализации</t>
        </is>
      </c>
      <c r="D19">
        <f>IF('Сырые ответы'!U17="","",'Сырые ответы'!U17)</f>
        <v/>
      </c>
    </row>
    <row r="20">
      <c r="A20">
        <f>'Сырые ответы'!B18</f>
        <v/>
      </c>
      <c r="B20" t="inlineStr">
        <is>
          <t>B11</t>
        </is>
      </c>
      <c r="C20" t="inlineStr">
        <is>
          <t>Блокеры реализации</t>
        </is>
      </c>
      <c r="D20">
        <f>IF('Сырые ответы'!U18="","",'Сырые ответы'!U18)</f>
        <v/>
      </c>
    </row>
    <row r="21">
      <c r="A21">
        <f>'Сырые ответы'!B19</f>
        <v/>
      </c>
      <c r="B21" t="inlineStr">
        <is>
          <t>B11</t>
        </is>
      </c>
      <c r="C21" t="inlineStr">
        <is>
          <t>Блокеры реализации</t>
        </is>
      </c>
      <c r="D21">
        <f>IF('Сырые ответы'!U19="","",'Сырые ответы'!U19)</f>
        <v/>
      </c>
    </row>
    <row r="22">
      <c r="A22">
        <f>'Сырые ответы'!B20</f>
        <v/>
      </c>
      <c r="B22" t="inlineStr">
        <is>
          <t>B11</t>
        </is>
      </c>
      <c r="C22" t="inlineStr">
        <is>
          <t>Блокеры реализации</t>
        </is>
      </c>
      <c r="D22">
        <f>IF('Сырые ответы'!U20="","",'Сырые ответы'!U20)</f>
        <v/>
      </c>
    </row>
    <row r="23">
      <c r="A23">
        <f>'Сырые ответы'!B21</f>
        <v/>
      </c>
      <c r="B23" t="inlineStr">
        <is>
          <t>B11</t>
        </is>
      </c>
      <c r="C23" t="inlineStr">
        <is>
          <t>Блокеры реализации</t>
        </is>
      </c>
      <c r="D23">
        <f>IF('Сырые ответы'!U21="","",'Сырые ответы'!U21)</f>
        <v/>
      </c>
    </row>
    <row r="24">
      <c r="A24">
        <f>'Сырые ответы'!B22</f>
        <v/>
      </c>
      <c r="B24" t="inlineStr">
        <is>
          <t>B11</t>
        </is>
      </c>
      <c r="C24" t="inlineStr">
        <is>
          <t>Блокеры реализации</t>
        </is>
      </c>
      <c r="D24">
        <f>IF('Сырые ответы'!U22="","",'Сырые ответы'!U22)</f>
        <v/>
      </c>
    </row>
    <row r="25">
      <c r="A25">
        <f>'Сырые ответы'!B23</f>
        <v/>
      </c>
      <c r="B25" t="inlineStr">
        <is>
          <t>B11</t>
        </is>
      </c>
      <c r="C25" t="inlineStr">
        <is>
          <t>Блокеры реализации</t>
        </is>
      </c>
      <c r="D25">
        <f>IF('Сырые ответы'!U23="","",'Сырые ответы'!U23)</f>
        <v/>
      </c>
    </row>
    <row r="26">
      <c r="A26">
        <f>'Сырые ответы'!B24</f>
        <v/>
      </c>
      <c r="B26" t="inlineStr">
        <is>
          <t>B11</t>
        </is>
      </c>
      <c r="C26" t="inlineStr">
        <is>
          <t>Блокеры реализации</t>
        </is>
      </c>
      <c r="D26">
        <f>IF('Сырые ответы'!U24="","",'Сырые ответы'!U24)</f>
        <v/>
      </c>
    </row>
    <row r="27">
      <c r="A27">
        <f>'Сырые ответы'!B25</f>
        <v/>
      </c>
      <c r="B27" t="inlineStr">
        <is>
          <t>B11</t>
        </is>
      </c>
      <c r="C27" t="inlineStr">
        <is>
          <t>Блокеры реализации</t>
        </is>
      </c>
      <c r="D27">
        <f>IF('Сырые ответы'!U25="","",'Сырые ответы'!U25)</f>
        <v/>
      </c>
    </row>
    <row r="28">
      <c r="A28">
        <f>'Сырые ответы'!B26</f>
        <v/>
      </c>
      <c r="B28" t="inlineStr">
        <is>
          <t>B11</t>
        </is>
      </c>
      <c r="C28" t="inlineStr">
        <is>
          <t>Блокеры реализации</t>
        </is>
      </c>
      <c r="D28">
        <f>IF('Сырые ответы'!U26="","",'Сырые ответы'!U26)</f>
        <v/>
      </c>
    </row>
    <row r="29">
      <c r="A29">
        <f>'Сырые ответы'!B27</f>
        <v/>
      </c>
      <c r="B29" t="inlineStr">
        <is>
          <t>B11</t>
        </is>
      </c>
      <c r="C29" t="inlineStr">
        <is>
          <t>Блокеры реализации</t>
        </is>
      </c>
      <c r="D29">
        <f>IF('Сырые ответы'!U27="","",'Сырые ответы'!U27)</f>
        <v/>
      </c>
    </row>
    <row r="30">
      <c r="A30">
        <f>'Сырые ответы'!B28</f>
        <v/>
      </c>
      <c r="B30" t="inlineStr">
        <is>
          <t>B11</t>
        </is>
      </c>
      <c r="C30" t="inlineStr">
        <is>
          <t>Блокеры реализации</t>
        </is>
      </c>
      <c r="D30">
        <f>IF('Сырые ответы'!U28="","",'Сырые ответы'!U28)</f>
        <v/>
      </c>
    </row>
    <row r="31">
      <c r="A31">
        <f>'Сырые ответы'!B29</f>
        <v/>
      </c>
      <c r="B31" t="inlineStr">
        <is>
          <t>B11</t>
        </is>
      </c>
      <c r="C31" t="inlineStr">
        <is>
          <t>Блокеры реализации</t>
        </is>
      </c>
      <c r="D31">
        <f>IF('Сырые ответы'!U29="","",'Сырые ответы'!U29)</f>
        <v/>
      </c>
    </row>
    <row r="32">
      <c r="A32">
        <f>'Сырые ответы'!B30</f>
        <v/>
      </c>
      <c r="B32" t="inlineStr">
        <is>
          <t>B11</t>
        </is>
      </c>
      <c r="C32" t="inlineStr">
        <is>
          <t>Блокеры реализации</t>
        </is>
      </c>
      <c r="D32">
        <f>IF('Сырые ответы'!U30="","",'Сырые ответы'!U30)</f>
        <v/>
      </c>
    </row>
    <row r="33">
      <c r="A33">
        <f>'Сырые ответы'!B31</f>
        <v/>
      </c>
      <c r="B33" t="inlineStr">
        <is>
          <t>B11</t>
        </is>
      </c>
      <c r="C33" t="inlineStr">
        <is>
          <t>Блокеры реализации</t>
        </is>
      </c>
      <c r="D33">
        <f>IF('Сырые ответы'!U31="","",'Сырые ответы'!U31)</f>
        <v/>
      </c>
    </row>
    <row r="34">
      <c r="A34">
        <f>'Сырые ответы'!B32</f>
        <v/>
      </c>
      <c r="B34" t="inlineStr">
        <is>
          <t>B11</t>
        </is>
      </c>
      <c r="C34" t="inlineStr">
        <is>
          <t>Блокеры реализации</t>
        </is>
      </c>
      <c r="D34">
        <f>IF('Сырые ответы'!U32="","",'Сырые ответы'!U32)</f>
        <v/>
      </c>
    </row>
    <row r="35">
      <c r="A35">
        <f>'Сырые ответы'!B33</f>
        <v/>
      </c>
      <c r="B35" t="inlineStr">
        <is>
          <t>B11</t>
        </is>
      </c>
      <c r="C35" t="inlineStr">
        <is>
          <t>Блокеры реализации</t>
        </is>
      </c>
      <c r="D35">
        <f>IF('Сырые ответы'!U33="","",'Сырые ответы'!U33)</f>
        <v/>
      </c>
    </row>
    <row r="36">
      <c r="A36">
        <f>'Сырые ответы'!B34</f>
        <v/>
      </c>
      <c r="B36" t="inlineStr">
        <is>
          <t>B11</t>
        </is>
      </c>
      <c r="C36" t="inlineStr">
        <is>
          <t>Блокеры реализации</t>
        </is>
      </c>
      <c r="D36">
        <f>IF('Сырые ответы'!U34="","",'Сырые ответы'!U34)</f>
        <v/>
      </c>
    </row>
    <row r="37">
      <c r="A37">
        <f>'Сырые ответы'!B35</f>
        <v/>
      </c>
      <c r="B37" t="inlineStr">
        <is>
          <t>B11</t>
        </is>
      </c>
      <c r="C37" t="inlineStr">
        <is>
          <t>Блокеры реализации</t>
        </is>
      </c>
      <c r="D37">
        <f>IF('Сырые ответы'!U35="","",'Сырые ответы'!U35)</f>
        <v/>
      </c>
    </row>
    <row r="38">
      <c r="A38">
        <f>'Сырые ответы'!B36</f>
        <v/>
      </c>
      <c r="B38" t="inlineStr">
        <is>
          <t>B11</t>
        </is>
      </c>
      <c r="C38" t="inlineStr">
        <is>
          <t>Блокеры реализации</t>
        </is>
      </c>
      <c r="D38">
        <f>IF('Сырые ответы'!U36="","",'Сырые ответы'!U36)</f>
        <v/>
      </c>
    </row>
    <row r="39">
      <c r="A39">
        <f>'Сырые ответы'!B37</f>
        <v/>
      </c>
      <c r="B39" t="inlineStr">
        <is>
          <t>B11</t>
        </is>
      </c>
      <c r="C39" t="inlineStr">
        <is>
          <t>Блокеры реализации</t>
        </is>
      </c>
      <c r="D39">
        <f>IF('Сырые ответы'!U37="","",'Сырые ответы'!U37)</f>
        <v/>
      </c>
    </row>
    <row r="40">
      <c r="A40">
        <f>'Сырые ответы'!B38</f>
        <v/>
      </c>
      <c r="B40" t="inlineStr">
        <is>
          <t>B11</t>
        </is>
      </c>
      <c r="C40" t="inlineStr">
        <is>
          <t>Блокеры реализации</t>
        </is>
      </c>
      <c r="D40">
        <f>IF('Сырые ответы'!U38="","",'Сырые ответы'!U38)</f>
        <v/>
      </c>
    </row>
    <row r="41">
      <c r="A41">
        <f>'Сырые ответы'!B39</f>
        <v/>
      </c>
      <c r="B41" t="inlineStr">
        <is>
          <t>B11</t>
        </is>
      </c>
      <c r="C41" t="inlineStr">
        <is>
          <t>Блокеры реализации</t>
        </is>
      </c>
      <c r="D41">
        <f>IF('Сырые ответы'!U39="","",'Сырые ответы'!U39)</f>
        <v/>
      </c>
    </row>
    <row r="42">
      <c r="A42">
        <f>'Сырые ответы'!B40</f>
        <v/>
      </c>
      <c r="B42" t="inlineStr">
        <is>
          <t>B11</t>
        </is>
      </c>
      <c r="C42" t="inlineStr">
        <is>
          <t>Блокеры реализации</t>
        </is>
      </c>
      <c r="D42">
        <f>IF('Сырые ответы'!U40="","",'Сырые ответы'!U40)</f>
        <v/>
      </c>
    </row>
    <row r="43">
      <c r="A43">
        <f>'Сырые ответы'!B41</f>
        <v/>
      </c>
      <c r="B43" t="inlineStr">
        <is>
          <t>B11</t>
        </is>
      </c>
      <c r="C43" t="inlineStr">
        <is>
          <t>Блокеры реализации</t>
        </is>
      </c>
      <c r="D43">
        <f>IF('Сырые ответы'!U41="","",'Сырые ответы'!U41)</f>
        <v/>
      </c>
    </row>
    <row r="44">
      <c r="A44">
        <f>'Сырые ответы'!B42</f>
        <v/>
      </c>
      <c r="B44" t="inlineStr">
        <is>
          <t>B11</t>
        </is>
      </c>
      <c r="C44" t="inlineStr">
        <is>
          <t>Блокеры реализации</t>
        </is>
      </c>
      <c r="D44">
        <f>IF('Сырые ответы'!U42="","",'Сырые ответы'!U42)</f>
        <v/>
      </c>
    </row>
    <row r="45">
      <c r="A45">
        <f>'Сырые ответы'!B43</f>
        <v/>
      </c>
      <c r="B45" t="inlineStr">
        <is>
          <t>B11</t>
        </is>
      </c>
      <c r="C45" t="inlineStr">
        <is>
          <t>Блокеры реализации</t>
        </is>
      </c>
      <c r="D45">
        <f>IF('Сырые ответы'!U43="","",'Сырые ответы'!U43)</f>
        <v/>
      </c>
    </row>
    <row r="46">
      <c r="A46">
        <f>'Сырые ответы'!B44</f>
        <v/>
      </c>
      <c r="B46" t="inlineStr">
        <is>
          <t>B11</t>
        </is>
      </c>
      <c r="C46" t="inlineStr">
        <is>
          <t>Блокеры реализации</t>
        </is>
      </c>
      <c r="D46">
        <f>IF('Сырые ответы'!U44="","",'Сырые ответы'!U44)</f>
        <v/>
      </c>
    </row>
    <row r="47">
      <c r="A47">
        <f>'Сырые ответы'!B45</f>
        <v/>
      </c>
      <c r="B47" t="inlineStr">
        <is>
          <t>B11</t>
        </is>
      </c>
      <c r="C47" t="inlineStr">
        <is>
          <t>Блокеры реализации</t>
        </is>
      </c>
      <c r="D47">
        <f>IF('Сырые ответы'!U45="","",'Сырые ответы'!U45)</f>
        <v/>
      </c>
    </row>
    <row r="48">
      <c r="A48">
        <f>'Сырые ответы'!B46</f>
        <v/>
      </c>
      <c r="B48" t="inlineStr">
        <is>
          <t>B11</t>
        </is>
      </c>
      <c r="C48" t="inlineStr">
        <is>
          <t>Блокеры реализации</t>
        </is>
      </c>
      <c r="D48">
        <f>IF('Сырые ответы'!U46="","",'Сырые ответы'!U46)</f>
        <v/>
      </c>
    </row>
    <row r="49">
      <c r="A49">
        <f>'Сырые ответы'!B47</f>
        <v/>
      </c>
      <c r="B49" t="inlineStr">
        <is>
          <t>B11</t>
        </is>
      </c>
      <c r="C49" t="inlineStr">
        <is>
          <t>Блокеры реализации</t>
        </is>
      </c>
      <c r="D49">
        <f>IF('Сырые ответы'!U47="","",'Сырые ответы'!U47)</f>
        <v/>
      </c>
    </row>
    <row r="50">
      <c r="A50">
        <f>'Сырые ответы'!B48</f>
        <v/>
      </c>
      <c r="B50" t="inlineStr">
        <is>
          <t>B11</t>
        </is>
      </c>
      <c r="C50" t="inlineStr">
        <is>
          <t>Блокеры реализации</t>
        </is>
      </c>
      <c r="D50">
        <f>IF('Сырые ответы'!U48="","",'Сырые ответы'!U48)</f>
        <v/>
      </c>
    </row>
    <row r="51">
      <c r="A51">
        <f>'Сырые ответы'!B49</f>
        <v/>
      </c>
      <c r="B51" t="inlineStr">
        <is>
          <t>B11</t>
        </is>
      </c>
      <c r="C51" t="inlineStr">
        <is>
          <t>Блокеры реализации</t>
        </is>
      </c>
      <c r="D51">
        <f>IF('Сырые ответы'!U49="","",'Сырые ответы'!U49)</f>
        <v/>
      </c>
    </row>
    <row r="52">
      <c r="A52">
        <f>'Сырые ответы'!B50</f>
        <v/>
      </c>
      <c r="B52" t="inlineStr">
        <is>
          <t>B11</t>
        </is>
      </c>
      <c r="C52" t="inlineStr">
        <is>
          <t>Блокеры реализации</t>
        </is>
      </c>
      <c r="D52">
        <f>IF('Сырые ответы'!U50="","",'Сырые ответы'!U50)</f>
        <v/>
      </c>
    </row>
    <row r="53">
      <c r="A53">
        <f>'Сырые ответы'!B51</f>
        <v/>
      </c>
      <c r="B53" t="inlineStr">
        <is>
          <t>B11</t>
        </is>
      </c>
      <c r="C53" t="inlineStr">
        <is>
          <t>Блокеры реализации</t>
        </is>
      </c>
      <c r="D53">
        <f>IF('Сырые ответы'!U51="","",'Сырые ответы'!U51)</f>
        <v/>
      </c>
    </row>
    <row r="54">
      <c r="A54">
        <f>'Сырые ответы'!B2</f>
        <v/>
      </c>
      <c r="B54" t="inlineStr">
        <is>
          <t>C8</t>
        </is>
      </c>
      <c r="C54" t="inlineStr">
        <is>
          <t>Боль сопровождения</t>
        </is>
      </c>
      <c r="D54">
        <f>IF('Сырые ответы'!AC2="","",'Сырые ответы'!AC2)</f>
        <v/>
      </c>
    </row>
    <row r="55">
      <c r="A55">
        <f>'Сырые ответы'!B3</f>
        <v/>
      </c>
      <c r="B55" t="inlineStr">
        <is>
          <t>C8</t>
        </is>
      </c>
      <c r="C55" t="inlineStr">
        <is>
          <t>Боль сопровождения</t>
        </is>
      </c>
      <c r="D55">
        <f>IF('Сырые ответы'!AC3="","",'Сырые ответы'!AC3)</f>
        <v/>
      </c>
    </row>
    <row r="56">
      <c r="A56">
        <f>'Сырые ответы'!B4</f>
        <v/>
      </c>
      <c r="B56" t="inlineStr">
        <is>
          <t>C8</t>
        </is>
      </c>
      <c r="C56" t="inlineStr">
        <is>
          <t>Боль сопровождения</t>
        </is>
      </c>
      <c r="D56">
        <f>IF('Сырые ответы'!AC4="","",'Сырые ответы'!AC4)</f>
        <v/>
      </c>
    </row>
    <row r="57">
      <c r="A57">
        <f>'Сырые ответы'!B5</f>
        <v/>
      </c>
      <c r="B57" t="inlineStr">
        <is>
          <t>C8</t>
        </is>
      </c>
      <c r="C57" t="inlineStr">
        <is>
          <t>Боль сопровождения</t>
        </is>
      </c>
      <c r="D57">
        <f>IF('Сырые ответы'!AC5="","",'Сырые ответы'!AC5)</f>
        <v/>
      </c>
    </row>
    <row r="58">
      <c r="A58">
        <f>'Сырые ответы'!B6</f>
        <v/>
      </c>
      <c r="B58" t="inlineStr">
        <is>
          <t>C8</t>
        </is>
      </c>
      <c r="C58" t="inlineStr">
        <is>
          <t>Боль сопровождения</t>
        </is>
      </c>
      <c r="D58">
        <f>IF('Сырые ответы'!AC6="","",'Сырые ответы'!AC6)</f>
        <v/>
      </c>
    </row>
    <row r="59">
      <c r="A59">
        <f>'Сырые ответы'!B7</f>
        <v/>
      </c>
      <c r="B59" t="inlineStr">
        <is>
          <t>C8</t>
        </is>
      </c>
      <c r="C59" t="inlineStr">
        <is>
          <t>Боль сопровождения</t>
        </is>
      </c>
      <c r="D59">
        <f>IF('Сырые ответы'!AC7="","",'Сырые ответы'!AC7)</f>
        <v/>
      </c>
    </row>
    <row r="60">
      <c r="A60">
        <f>'Сырые ответы'!B8</f>
        <v/>
      </c>
      <c r="B60" t="inlineStr">
        <is>
          <t>C8</t>
        </is>
      </c>
      <c r="C60" t="inlineStr">
        <is>
          <t>Боль сопровождения</t>
        </is>
      </c>
      <c r="D60">
        <f>IF('Сырые ответы'!AC8="","",'Сырые ответы'!AC8)</f>
        <v/>
      </c>
    </row>
    <row r="61">
      <c r="A61">
        <f>'Сырые ответы'!B9</f>
        <v/>
      </c>
      <c r="B61" t="inlineStr">
        <is>
          <t>C8</t>
        </is>
      </c>
      <c r="C61" t="inlineStr">
        <is>
          <t>Боль сопровождения</t>
        </is>
      </c>
      <c r="D61">
        <f>IF('Сырые ответы'!AC9="","",'Сырые ответы'!AC9)</f>
        <v/>
      </c>
    </row>
    <row r="62">
      <c r="A62">
        <f>'Сырые ответы'!B10</f>
        <v/>
      </c>
      <c r="B62" t="inlineStr">
        <is>
          <t>C8</t>
        </is>
      </c>
      <c r="C62" t="inlineStr">
        <is>
          <t>Боль сопровождения</t>
        </is>
      </c>
      <c r="D62">
        <f>IF('Сырые ответы'!AC10="","",'Сырые ответы'!AC10)</f>
        <v/>
      </c>
    </row>
    <row r="63">
      <c r="A63">
        <f>'Сырые ответы'!B11</f>
        <v/>
      </c>
      <c r="B63" t="inlineStr">
        <is>
          <t>C8</t>
        </is>
      </c>
      <c r="C63" t="inlineStr">
        <is>
          <t>Боль сопровождения</t>
        </is>
      </c>
      <c r="D63">
        <f>IF('Сырые ответы'!AC11="","",'Сырые ответы'!AC11)</f>
        <v/>
      </c>
    </row>
    <row r="64">
      <c r="A64">
        <f>'Сырые ответы'!B12</f>
        <v/>
      </c>
      <c r="B64" t="inlineStr">
        <is>
          <t>C8</t>
        </is>
      </c>
      <c r="C64" t="inlineStr">
        <is>
          <t>Боль сопровождения</t>
        </is>
      </c>
      <c r="D64">
        <f>IF('Сырые ответы'!AC12="","",'Сырые ответы'!AC12)</f>
        <v/>
      </c>
    </row>
    <row r="65">
      <c r="A65">
        <f>'Сырые ответы'!B13</f>
        <v/>
      </c>
      <c r="B65" t="inlineStr">
        <is>
          <t>C8</t>
        </is>
      </c>
      <c r="C65" t="inlineStr">
        <is>
          <t>Боль сопровождения</t>
        </is>
      </c>
      <c r="D65">
        <f>IF('Сырые ответы'!AC13="","",'Сырые ответы'!AC13)</f>
        <v/>
      </c>
    </row>
    <row r="66">
      <c r="A66">
        <f>'Сырые ответы'!B14</f>
        <v/>
      </c>
      <c r="B66" t="inlineStr">
        <is>
          <t>C8</t>
        </is>
      </c>
      <c r="C66" t="inlineStr">
        <is>
          <t>Боль сопровождения</t>
        </is>
      </c>
      <c r="D66">
        <f>IF('Сырые ответы'!AC14="","",'Сырые ответы'!AC14)</f>
        <v/>
      </c>
    </row>
    <row r="67">
      <c r="A67">
        <f>'Сырые ответы'!B15</f>
        <v/>
      </c>
      <c r="B67" t="inlineStr">
        <is>
          <t>C8</t>
        </is>
      </c>
      <c r="C67" t="inlineStr">
        <is>
          <t>Боль сопровождения</t>
        </is>
      </c>
      <c r="D67">
        <f>IF('Сырые ответы'!AC15="","",'Сырые ответы'!AC15)</f>
        <v/>
      </c>
    </row>
    <row r="68">
      <c r="A68">
        <f>'Сырые ответы'!B16</f>
        <v/>
      </c>
      <c r="B68" t="inlineStr">
        <is>
          <t>C8</t>
        </is>
      </c>
      <c r="C68" t="inlineStr">
        <is>
          <t>Боль сопровождения</t>
        </is>
      </c>
      <c r="D68">
        <f>IF('Сырые ответы'!AC16="","",'Сырые ответы'!AC16)</f>
        <v/>
      </c>
    </row>
    <row r="69">
      <c r="A69">
        <f>'Сырые ответы'!B17</f>
        <v/>
      </c>
      <c r="B69" t="inlineStr">
        <is>
          <t>C8</t>
        </is>
      </c>
      <c r="C69" t="inlineStr">
        <is>
          <t>Боль сопровождения</t>
        </is>
      </c>
      <c r="D69">
        <f>IF('Сырые ответы'!AC17="","",'Сырые ответы'!AC17)</f>
        <v/>
      </c>
    </row>
    <row r="70">
      <c r="A70">
        <f>'Сырые ответы'!B18</f>
        <v/>
      </c>
      <c r="B70" t="inlineStr">
        <is>
          <t>C8</t>
        </is>
      </c>
      <c r="C70" t="inlineStr">
        <is>
          <t>Боль сопровождения</t>
        </is>
      </c>
      <c r="D70">
        <f>IF('Сырые ответы'!AC18="","",'Сырые ответы'!AC18)</f>
        <v/>
      </c>
    </row>
    <row r="71">
      <c r="A71">
        <f>'Сырые ответы'!B19</f>
        <v/>
      </c>
      <c r="B71" t="inlineStr">
        <is>
          <t>C8</t>
        </is>
      </c>
      <c r="C71" t="inlineStr">
        <is>
          <t>Боль сопровождения</t>
        </is>
      </c>
      <c r="D71">
        <f>IF('Сырые ответы'!AC19="","",'Сырые ответы'!AC19)</f>
        <v/>
      </c>
    </row>
    <row r="72">
      <c r="A72">
        <f>'Сырые ответы'!B20</f>
        <v/>
      </c>
      <c r="B72" t="inlineStr">
        <is>
          <t>C8</t>
        </is>
      </c>
      <c r="C72" t="inlineStr">
        <is>
          <t>Боль сопровождения</t>
        </is>
      </c>
      <c r="D72">
        <f>IF('Сырые ответы'!AC20="","",'Сырые ответы'!AC20)</f>
        <v/>
      </c>
    </row>
    <row r="73">
      <c r="A73">
        <f>'Сырые ответы'!B21</f>
        <v/>
      </c>
      <c r="B73" t="inlineStr">
        <is>
          <t>C8</t>
        </is>
      </c>
      <c r="C73" t="inlineStr">
        <is>
          <t>Боль сопровождения</t>
        </is>
      </c>
      <c r="D73">
        <f>IF('Сырые ответы'!AC21="","",'Сырые ответы'!AC21)</f>
        <v/>
      </c>
    </row>
    <row r="74">
      <c r="A74">
        <f>'Сырые ответы'!B22</f>
        <v/>
      </c>
      <c r="B74" t="inlineStr">
        <is>
          <t>C8</t>
        </is>
      </c>
      <c r="C74" t="inlineStr">
        <is>
          <t>Боль сопровождения</t>
        </is>
      </c>
      <c r="D74">
        <f>IF('Сырые ответы'!AC22="","",'Сырые ответы'!AC22)</f>
        <v/>
      </c>
    </row>
    <row r="75">
      <c r="A75">
        <f>'Сырые ответы'!B23</f>
        <v/>
      </c>
      <c r="B75" t="inlineStr">
        <is>
          <t>C8</t>
        </is>
      </c>
      <c r="C75" t="inlineStr">
        <is>
          <t>Боль сопровождения</t>
        </is>
      </c>
      <c r="D75">
        <f>IF('Сырые ответы'!AC23="","",'Сырые ответы'!AC23)</f>
        <v/>
      </c>
    </row>
    <row r="76">
      <c r="A76">
        <f>'Сырые ответы'!B24</f>
        <v/>
      </c>
      <c r="B76" t="inlineStr">
        <is>
          <t>C8</t>
        </is>
      </c>
      <c r="C76" t="inlineStr">
        <is>
          <t>Боль сопровождения</t>
        </is>
      </c>
      <c r="D76">
        <f>IF('Сырые ответы'!AC24="","",'Сырые ответы'!AC24)</f>
        <v/>
      </c>
    </row>
    <row r="77">
      <c r="A77">
        <f>'Сырые ответы'!B25</f>
        <v/>
      </c>
      <c r="B77" t="inlineStr">
        <is>
          <t>C8</t>
        </is>
      </c>
      <c r="C77" t="inlineStr">
        <is>
          <t>Боль сопровождения</t>
        </is>
      </c>
      <c r="D77">
        <f>IF('Сырые ответы'!AC25="","",'Сырые ответы'!AC25)</f>
        <v/>
      </c>
    </row>
    <row r="78">
      <c r="A78">
        <f>'Сырые ответы'!B26</f>
        <v/>
      </c>
      <c r="B78" t="inlineStr">
        <is>
          <t>C8</t>
        </is>
      </c>
      <c r="C78" t="inlineStr">
        <is>
          <t>Боль сопровождения</t>
        </is>
      </c>
      <c r="D78">
        <f>IF('Сырые ответы'!AC26="","",'Сырые ответы'!AC26)</f>
        <v/>
      </c>
    </row>
    <row r="79">
      <c r="A79">
        <f>'Сырые ответы'!B27</f>
        <v/>
      </c>
      <c r="B79" t="inlineStr">
        <is>
          <t>C8</t>
        </is>
      </c>
      <c r="C79" t="inlineStr">
        <is>
          <t>Боль сопровождения</t>
        </is>
      </c>
      <c r="D79">
        <f>IF('Сырые ответы'!AC27="","",'Сырые ответы'!AC27)</f>
        <v/>
      </c>
    </row>
    <row r="80">
      <c r="A80">
        <f>'Сырые ответы'!B28</f>
        <v/>
      </c>
      <c r="B80" t="inlineStr">
        <is>
          <t>C8</t>
        </is>
      </c>
      <c r="C80" t="inlineStr">
        <is>
          <t>Боль сопровождения</t>
        </is>
      </c>
      <c r="D80">
        <f>IF('Сырые ответы'!AC28="","",'Сырые ответы'!AC28)</f>
        <v/>
      </c>
    </row>
    <row r="81">
      <c r="A81">
        <f>'Сырые ответы'!B29</f>
        <v/>
      </c>
      <c r="B81" t="inlineStr">
        <is>
          <t>C8</t>
        </is>
      </c>
      <c r="C81" t="inlineStr">
        <is>
          <t>Боль сопровождения</t>
        </is>
      </c>
      <c r="D81">
        <f>IF('Сырые ответы'!AC29="","",'Сырые ответы'!AC29)</f>
        <v/>
      </c>
    </row>
    <row r="82">
      <c r="A82">
        <f>'Сырые ответы'!B30</f>
        <v/>
      </c>
      <c r="B82" t="inlineStr">
        <is>
          <t>C8</t>
        </is>
      </c>
      <c r="C82" t="inlineStr">
        <is>
          <t>Боль сопровождения</t>
        </is>
      </c>
      <c r="D82">
        <f>IF('Сырые ответы'!AC30="","",'Сырые ответы'!AC30)</f>
        <v/>
      </c>
    </row>
    <row r="83">
      <c r="A83">
        <f>'Сырые ответы'!B31</f>
        <v/>
      </c>
      <c r="B83" t="inlineStr">
        <is>
          <t>C8</t>
        </is>
      </c>
      <c r="C83" t="inlineStr">
        <is>
          <t>Боль сопровождения</t>
        </is>
      </c>
      <c r="D83">
        <f>IF('Сырые ответы'!AC31="","",'Сырые ответы'!AC31)</f>
        <v/>
      </c>
    </row>
    <row r="84">
      <c r="A84">
        <f>'Сырые ответы'!B32</f>
        <v/>
      </c>
      <c r="B84" t="inlineStr">
        <is>
          <t>C8</t>
        </is>
      </c>
      <c r="C84" t="inlineStr">
        <is>
          <t>Боль сопровождения</t>
        </is>
      </c>
      <c r="D84">
        <f>IF('Сырые ответы'!AC32="","",'Сырые ответы'!AC32)</f>
        <v/>
      </c>
    </row>
    <row r="85">
      <c r="A85">
        <f>'Сырые ответы'!B33</f>
        <v/>
      </c>
      <c r="B85" t="inlineStr">
        <is>
          <t>C8</t>
        </is>
      </c>
      <c r="C85" t="inlineStr">
        <is>
          <t>Боль сопровождения</t>
        </is>
      </c>
      <c r="D85">
        <f>IF('Сырые ответы'!AC33="","",'Сырые ответы'!AC33)</f>
        <v/>
      </c>
    </row>
    <row r="86">
      <c r="A86">
        <f>'Сырые ответы'!B34</f>
        <v/>
      </c>
      <c r="B86" t="inlineStr">
        <is>
          <t>C8</t>
        </is>
      </c>
      <c r="C86" t="inlineStr">
        <is>
          <t>Боль сопровождения</t>
        </is>
      </c>
      <c r="D86">
        <f>IF('Сырые ответы'!AC34="","",'Сырые ответы'!AC34)</f>
        <v/>
      </c>
    </row>
    <row r="87">
      <c r="A87">
        <f>'Сырые ответы'!B35</f>
        <v/>
      </c>
      <c r="B87" t="inlineStr">
        <is>
          <t>C8</t>
        </is>
      </c>
      <c r="C87" t="inlineStr">
        <is>
          <t>Боль сопровождения</t>
        </is>
      </c>
      <c r="D87">
        <f>IF('Сырые ответы'!AC35="","",'Сырые ответы'!AC35)</f>
        <v/>
      </c>
    </row>
    <row r="88">
      <c r="A88">
        <f>'Сырые ответы'!B36</f>
        <v/>
      </c>
      <c r="B88" t="inlineStr">
        <is>
          <t>C8</t>
        </is>
      </c>
      <c r="C88" t="inlineStr">
        <is>
          <t>Боль сопровождения</t>
        </is>
      </c>
      <c r="D88">
        <f>IF('Сырые ответы'!AC36="","",'Сырые ответы'!AC36)</f>
        <v/>
      </c>
    </row>
    <row r="89">
      <c r="A89">
        <f>'Сырые ответы'!B37</f>
        <v/>
      </c>
      <c r="B89" t="inlineStr">
        <is>
          <t>C8</t>
        </is>
      </c>
      <c r="C89" t="inlineStr">
        <is>
          <t>Боль сопровождения</t>
        </is>
      </c>
      <c r="D89">
        <f>IF('Сырые ответы'!AC37="","",'Сырые ответы'!AC37)</f>
        <v/>
      </c>
    </row>
    <row r="90">
      <c r="A90">
        <f>'Сырые ответы'!B38</f>
        <v/>
      </c>
      <c r="B90" t="inlineStr">
        <is>
          <t>C8</t>
        </is>
      </c>
      <c r="C90" t="inlineStr">
        <is>
          <t>Боль сопровождения</t>
        </is>
      </c>
      <c r="D90">
        <f>IF('Сырые ответы'!AC38="","",'Сырые ответы'!AC38)</f>
        <v/>
      </c>
    </row>
    <row r="91">
      <c r="A91">
        <f>'Сырые ответы'!B39</f>
        <v/>
      </c>
      <c r="B91" t="inlineStr">
        <is>
          <t>C8</t>
        </is>
      </c>
      <c r="C91" t="inlineStr">
        <is>
          <t>Боль сопровождения</t>
        </is>
      </c>
      <c r="D91">
        <f>IF('Сырые ответы'!AC39="","",'Сырые ответы'!AC39)</f>
        <v/>
      </c>
    </row>
    <row r="92">
      <c r="A92">
        <f>'Сырые ответы'!B40</f>
        <v/>
      </c>
      <c r="B92" t="inlineStr">
        <is>
          <t>C8</t>
        </is>
      </c>
      <c r="C92" t="inlineStr">
        <is>
          <t>Боль сопровождения</t>
        </is>
      </c>
      <c r="D92">
        <f>IF('Сырые ответы'!AC40="","",'Сырые ответы'!AC40)</f>
        <v/>
      </c>
    </row>
    <row r="93">
      <c r="A93">
        <f>'Сырые ответы'!B41</f>
        <v/>
      </c>
      <c r="B93" t="inlineStr">
        <is>
          <t>C8</t>
        </is>
      </c>
      <c r="C93" t="inlineStr">
        <is>
          <t>Боль сопровождения</t>
        </is>
      </c>
      <c r="D93">
        <f>IF('Сырые ответы'!AC41="","",'Сырые ответы'!AC41)</f>
        <v/>
      </c>
    </row>
    <row r="94">
      <c r="A94">
        <f>'Сырые ответы'!B42</f>
        <v/>
      </c>
      <c r="B94" t="inlineStr">
        <is>
          <t>C8</t>
        </is>
      </c>
      <c r="C94" t="inlineStr">
        <is>
          <t>Боль сопровождения</t>
        </is>
      </c>
      <c r="D94">
        <f>IF('Сырые ответы'!AC42="","",'Сырые ответы'!AC42)</f>
        <v/>
      </c>
    </row>
    <row r="95">
      <c r="A95">
        <f>'Сырые ответы'!B43</f>
        <v/>
      </c>
      <c r="B95" t="inlineStr">
        <is>
          <t>C8</t>
        </is>
      </c>
      <c r="C95" t="inlineStr">
        <is>
          <t>Боль сопровождения</t>
        </is>
      </c>
      <c r="D95">
        <f>IF('Сырые ответы'!AC43="","",'Сырые ответы'!AC43)</f>
        <v/>
      </c>
    </row>
    <row r="96">
      <c r="A96">
        <f>'Сырые ответы'!B44</f>
        <v/>
      </c>
      <c r="B96" t="inlineStr">
        <is>
          <t>C8</t>
        </is>
      </c>
      <c r="C96" t="inlineStr">
        <is>
          <t>Боль сопровождения</t>
        </is>
      </c>
      <c r="D96">
        <f>IF('Сырые ответы'!AC44="","",'Сырые ответы'!AC44)</f>
        <v/>
      </c>
    </row>
    <row r="97">
      <c r="A97">
        <f>'Сырые ответы'!B45</f>
        <v/>
      </c>
      <c r="B97" t="inlineStr">
        <is>
          <t>C8</t>
        </is>
      </c>
      <c r="C97" t="inlineStr">
        <is>
          <t>Боль сопровождения</t>
        </is>
      </c>
      <c r="D97">
        <f>IF('Сырые ответы'!AC45="","",'Сырые ответы'!AC45)</f>
        <v/>
      </c>
    </row>
    <row r="98">
      <c r="A98">
        <f>'Сырые ответы'!B46</f>
        <v/>
      </c>
      <c r="B98" t="inlineStr">
        <is>
          <t>C8</t>
        </is>
      </c>
      <c r="C98" t="inlineStr">
        <is>
          <t>Боль сопровождения</t>
        </is>
      </c>
      <c r="D98">
        <f>IF('Сырые ответы'!AC46="","",'Сырые ответы'!AC46)</f>
        <v/>
      </c>
    </row>
    <row r="99">
      <c r="A99">
        <f>'Сырые ответы'!B47</f>
        <v/>
      </c>
      <c r="B99" t="inlineStr">
        <is>
          <t>C8</t>
        </is>
      </c>
      <c r="C99" t="inlineStr">
        <is>
          <t>Боль сопровождения</t>
        </is>
      </c>
      <c r="D99">
        <f>IF('Сырые ответы'!AC47="","",'Сырые ответы'!AC47)</f>
        <v/>
      </c>
    </row>
    <row r="100">
      <c r="A100">
        <f>'Сырые ответы'!B48</f>
        <v/>
      </c>
      <c r="B100" t="inlineStr">
        <is>
          <t>C8</t>
        </is>
      </c>
      <c r="C100" t="inlineStr">
        <is>
          <t>Боль сопровождения</t>
        </is>
      </c>
      <c r="D100">
        <f>IF('Сырые ответы'!AC48="","",'Сырые ответы'!AC48)</f>
        <v/>
      </c>
    </row>
    <row r="101">
      <c r="A101">
        <f>'Сырые ответы'!B49</f>
        <v/>
      </c>
      <c r="B101" t="inlineStr">
        <is>
          <t>C8</t>
        </is>
      </c>
      <c r="C101" t="inlineStr">
        <is>
          <t>Боль сопровождения</t>
        </is>
      </c>
      <c r="D101">
        <f>IF('Сырые ответы'!AC49="","",'Сырые ответы'!AC49)</f>
        <v/>
      </c>
    </row>
    <row r="102">
      <c r="A102">
        <f>'Сырые ответы'!B50</f>
        <v/>
      </c>
      <c r="B102" t="inlineStr">
        <is>
          <t>C8</t>
        </is>
      </c>
      <c r="C102" t="inlineStr">
        <is>
          <t>Боль сопровождения</t>
        </is>
      </c>
      <c r="D102">
        <f>IF('Сырые ответы'!AC50="","",'Сырые ответы'!AC50)</f>
        <v/>
      </c>
    </row>
    <row r="103">
      <c r="A103">
        <f>'Сырые ответы'!B51</f>
        <v/>
      </c>
      <c r="B103" t="inlineStr">
        <is>
          <t>C8</t>
        </is>
      </c>
      <c r="C103" t="inlineStr">
        <is>
          <t>Боль сопровождения</t>
        </is>
      </c>
      <c r="D103">
        <f>IF('Сырые ответы'!AC51="","",'Сырые ответы'!AC51)</f>
        <v/>
      </c>
    </row>
    <row r="104">
      <c r="A104">
        <f>'Сырые ответы'!B2</f>
        <v/>
      </c>
      <c r="B104" t="inlineStr">
        <is>
          <t>D8</t>
        </is>
      </c>
      <c r="C104" t="inlineStr">
        <is>
          <t>Перерасход бюджета</t>
        </is>
      </c>
      <c r="D104">
        <f>IF('Сырые ответы'!AK2="","",'Сырые ответы'!AK2)</f>
        <v/>
      </c>
    </row>
    <row r="105">
      <c r="A105">
        <f>'Сырые ответы'!B3</f>
        <v/>
      </c>
      <c r="B105" t="inlineStr">
        <is>
          <t>D8</t>
        </is>
      </c>
      <c r="C105" t="inlineStr">
        <is>
          <t>Перерасход бюджета</t>
        </is>
      </c>
      <c r="D105">
        <f>IF('Сырые ответы'!AK3="","",'Сырые ответы'!AK3)</f>
        <v/>
      </c>
    </row>
    <row r="106">
      <c r="A106">
        <f>'Сырые ответы'!B4</f>
        <v/>
      </c>
      <c r="B106" t="inlineStr">
        <is>
          <t>D8</t>
        </is>
      </c>
      <c r="C106" t="inlineStr">
        <is>
          <t>Перерасход бюджета</t>
        </is>
      </c>
      <c r="D106">
        <f>IF('Сырые ответы'!AK4="","",'Сырые ответы'!AK4)</f>
        <v/>
      </c>
    </row>
    <row r="107">
      <c r="A107">
        <f>'Сырые ответы'!B5</f>
        <v/>
      </c>
      <c r="B107" t="inlineStr">
        <is>
          <t>D8</t>
        </is>
      </c>
      <c r="C107" t="inlineStr">
        <is>
          <t>Перерасход бюджета</t>
        </is>
      </c>
      <c r="D107">
        <f>IF('Сырые ответы'!AK5="","",'Сырые ответы'!AK5)</f>
        <v/>
      </c>
    </row>
    <row r="108">
      <c r="A108">
        <f>'Сырые ответы'!B6</f>
        <v/>
      </c>
      <c r="B108" t="inlineStr">
        <is>
          <t>D8</t>
        </is>
      </c>
      <c r="C108" t="inlineStr">
        <is>
          <t>Перерасход бюджета</t>
        </is>
      </c>
      <c r="D108">
        <f>IF('Сырые ответы'!AK6="","",'Сырые ответы'!AK6)</f>
        <v/>
      </c>
    </row>
    <row r="109">
      <c r="A109">
        <f>'Сырые ответы'!B7</f>
        <v/>
      </c>
      <c r="B109" t="inlineStr">
        <is>
          <t>D8</t>
        </is>
      </c>
      <c r="C109" t="inlineStr">
        <is>
          <t>Перерасход бюджета</t>
        </is>
      </c>
      <c r="D109">
        <f>IF('Сырые ответы'!AK7="","",'Сырые ответы'!AK7)</f>
        <v/>
      </c>
    </row>
    <row r="110">
      <c r="A110">
        <f>'Сырые ответы'!B8</f>
        <v/>
      </c>
      <c r="B110" t="inlineStr">
        <is>
          <t>D8</t>
        </is>
      </c>
      <c r="C110" t="inlineStr">
        <is>
          <t>Перерасход бюджета</t>
        </is>
      </c>
      <c r="D110">
        <f>IF('Сырые ответы'!AK8="","",'Сырые ответы'!AK8)</f>
        <v/>
      </c>
    </row>
    <row r="111">
      <c r="A111">
        <f>'Сырые ответы'!B9</f>
        <v/>
      </c>
      <c r="B111" t="inlineStr">
        <is>
          <t>D8</t>
        </is>
      </c>
      <c r="C111" t="inlineStr">
        <is>
          <t>Перерасход бюджета</t>
        </is>
      </c>
      <c r="D111">
        <f>IF('Сырые ответы'!AK9="","",'Сырые ответы'!AK9)</f>
        <v/>
      </c>
    </row>
    <row r="112">
      <c r="A112">
        <f>'Сырые ответы'!B10</f>
        <v/>
      </c>
      <c r="B112" t="inlineStr">
        <is>
          <t>D8</t>
        </is>
      </c>
      <c r="C112" t="inlineStr">
        <is>
          <t>Перерасход бюджета</t>
        </is>
      </c>
      <c r="D112">
        <f>IF('Сырые ответы'!AK10="","",'Сырые ответы'!AK10)</f>
        <v/>
      </c>
    </row>
    <row r="113">
      <c r="A113">
        <f>'Сырые ответы'!B11</f>
        <v/>
      </c>
      <c r="B113" t="inlineStr">
        <is>
          <t>D8</t>
        </is>
      </c>
      <c r="C113" t="inlineStr">
        <is>
          <t>Перерасход бюджета</t>
        </is>
      </c>
      <c r="D113">
        <f>IF('Сырые ответы'!AK11="","",'Сырые ответы'!AK11)</f>
        <v/>
      </c>
    </row>
    <row r="114">
      <c r="A114">
        <f>'Сырые ответы'!B12</f>
        <v/>
      </c>
      <c r="B114" t="inlineStr">
        <is>
          <t>D8</t>
        </is>
      </c>
      <c r="C114" t="inlineStr">
        <is>
          <t>Перерасход бюджета</t>
        </is>
      </c>
      <c r="D114">
        <f>IF('Сырые ответы'!AK12="","",'Сырые ответы'!AK12)</f>
        <v/>
      </c>
    </row>
    <row r="115">
      <c r="A115">
        <f>'Сырые ответы'!B13</f>
        <v/>
      </c>
      <c r="B115" t="inlineStr">
        <is>
          <t>D8</t>
        </is>
      </c>
      <c r="C115" t="inlineStr">
        <is>
          <t>Перерасход бюджета</t>
        </is>
      </c>
      <c r="D115">
        <f>IF('Сырые ответы'!AK13="","",'Сырые ответы'!AK13)</f>
        <v/>
      </c>
    </row>
    <row r="116">
      <c r="A116">
        <f>'Сырые ответы'!B14</f>
        <v/>
      </c>
      <c r="B116" t="inlineStr">
        <is>
          <t>D8</t>
        </is>
      </c>
      <c r="C116" t="inlineStr">
        <is>
          <t>Перерасход бюджета</t>
        </is>
      </c>
      <c r="D116">
        <f>IF('Сырые ответы'!AK14="","",'Сырые ответы'!AK14)</f>
        <v/>
      </c>
    </row>
    <row r="117">
      <c r="A117">
        <f>'Сырые ответы'!B15</f>
        <v/>
      </c>
      <c r="B117" t="inlineStr">
        <is>
          <t>D8</t>
        </is>
      </c>
      <c r="C117" t="inlineStr">
        <is>
          <t>Перерасход бюджета</t>
        </is>
      </c>
      <c r="D117">
        <f>IF('Сырые ответы'!AK15="","",'Сырые ответы'!AK15)</f>
        <v/>
      </c>
    </row>
    <row r="118">
      <c r="A118">
        <f>'Сырые ответы'!B16</f>
        <v/>
      </c>
      <c r="B118" t="inlineStr">
        <is>
          <t>D8</t>
        </is>
      </c>
      <c r="C118" t="inlineStr">
        <is>
          <t>Перерасход бюджета</t>
        </is>
      </c>
      <c r="D118">
        <f>IF('Сырые ответы'!AK16="","",'Сырые ответы'!AK16)</f>
        <v/>
      </c>
    </row>
    <row r="119">
      <c r="A119">
        <f>'Сырые ответы'!B17</f>
        <v/>
      </c>
      <c r="B119" t="inlineStr">
        <is>
          <t>D8</t>
        </is>
      </c>
      <c r="C119" t="inlineStr">
        <is>
          <t>Перерасход бюджета</t>
        </is>
      </c>
      <c r="D119">
        <f>IF('Сырые ответы'!AK17="","",'Сырые ответы'!AK17)</f>
        <v/>
      </c>
    </row>
    <row r="120">
      <c r="A120">
        <f>'Сырые ответы'!B18</f>
        <v/>
      </c>
      <c r="B120" t="inlineStr">
        <is>
          <t>D8</t>
        </is>
      </c>
      <c r="C120" t="inlineStr">
        <is>
          <t>Перерасход бюджета</t>
        </is>
      </c>
      <c r="D120">
        <f>IF('Сырые ответы'!AK18="","",'Сырые ответы'!AK18)</f>
        <v/>
      </c>
    </row>
    <row r="121">
      <c r="A121">
        <f>'Сырые ответы'!B19</f>
        <v/>
      </c>
      <c r="B121" t="inlineStr">
        <is>
          <t>D8</t>
        </is>
      </c>
      <c r="C121" t="inlineStr">
        <is>
          <t>Перерасход бюджета</t>
        </is>
      </c>
      <c r="D121">
        <f>IF('Сырые ответы'!AK19="","",'Сырые ответы'!AK19)</f>
        <v/>
      </c>
    </row>
    <row r="122">
      <c r="A122">
        <f>'Сырые ответы'!B20</f>
        <v/>
      </c>
      <c r="B122" t="inlineStr">
        <is>
          <t>D8</t>
        </is>
      </c>
      <c r="C122" t="inlineStr">
        <is>
          <t>Перерасход бюджета</t>
        </is>
      </c>
      <c r="D122">
        <f>IF('Сырые ответы'!AK20="","",'Сырые ответы'!AK20)</f>
        <v/>
      </c>
    </row>
    <row r="123">
      <c r="A123">
        <f>'Сырые ответы'!B21</f>
        <v/>
      </c>
      <c r="B123" t="inlineStr">
        <is>
          <t>D8</t>
        </is>
      </c>
      <c r="C123" t="inlineStr">
        <is>
          <t>Перерасход бюджета</t>
        </is>
      </c>
      <c r="D123">
        <f>IF('Сырые ответы'!AK21="","",'Сырые ответы'!AK21)</f>
        <v/>
      </c>
    </row>
    <row r="124">
      <c r="A124">
        <f>'Сырые ответы'!B22</f>
        <v/>
      </c>
      <c r="B124" t="inlineStr">
        <is>
          <t>D8</t>
        </is>
      </c>
      <c r="C124" t="inlineStr">
        <is>
          <t>Перерасход бюджета</t>
        </is>
      </c>
      <c r="D124">
        <f>IF('Сырые ответы'!AK22="","",'Сырые ответы'!AK22)</f>
        <v/>
      </c>
    </row>
    <row r="125">
      <c r="A125">
        <f>'Сырые ответы'!B23</f>
        <v/>
      </c>
      <c r="B125" t="inlineStr">
        <is>
          <t>D8</t>
        </is>
      </c>
      <c r="C125" t="inlineStr">
        <is>
          <t>Перерасход бюджета</t>
        </is>
      </c>
      <c r="D125">
        <f>IF('Сырые ответы'!AK23="","",'Сырые ответы'!AK23)</f>
        <v/>
      </c>
    </row>
    <row r="126">
      <c r="A126">
        <f>'Сырые ответы'!B24</f>
        <v/>
      </c>
      <c r="B126" t="inlineStr">
        <is>
          <t>D8</t>
        </is>
      </c>
      <c r="C126" t="inlineStr">
        <is>
          <t>Перерасход бюджета</t>
        </is>
      </c>
      <c r="D126">
        <f>IF('Сырые ответы'!AK24="","",'Сырые ответы'!AK24)</f>
        <v/>
      </c>
    </row>
    <row r="127">
      <c r="A127">
        <f>'Сырые ответы'!B25</f>
        <v/>
      </c>
      <c r="B127" t="inlineStr">
        <is>
          <t>D8</t>
        </is>
      </c>
      <c r="C127" t="inlineStr">
        <is>
          <t>Перерасход бюджета</t>
        </is>
      </c>
      <c r="D127">
        <f>IF('Сырые ответы'!AK25="","",'Сырые ответы'!AK25)</f>
        <v/>
      </c>
    </row>
    <row r="128">
      <c r="A128">
        <f>'Сырые ответы'!B26</f>
        <v/>
      </c>
      <c r="B128" t="inlineStr">
        <is>
          <t>D8</t>
        </is>
      </c>
      <c r="C128" t="inlineStr">
        <is>
          <t>Перерасход бюджета</t>
        </is>
      </c>
      <c r="D128">
        <f>IF('Сырые ответы'!AK26="","",'Сырые ответы'!AK26)</f>
        <v/>
      </c>
    </row>
    <row r="129">
      <c r="A129">
        <f>'Сырые ответы'!B27</f>
        <v/>
      </c>
      <c r="B129" t="inlineStr">
        <is>
          <t>D8</t>
        </is>
      </c>
      <c r="C129" t="inlineStr">
        <is>
          <t>Перерасход бюджета</t>
        </is>
      </c>
      <c r="D129">
        <f>IF('Сырые ответы'!AK27="","",'Сырые ответы'!AK27)</f>
        <v/>
      </c>
    </row>
    <row r="130">
      <c r="A130">
        <f>'Сырые ответы'!B28</f>
        <v/>
      </c>
      <c r="B130" t="inlineStr">
        <is>
          <t>D8</t>
        </is>
      </c>
      <c r="C130" t="inlineStr">
        <is>
          <t>Перерасход бюджета</t>
        </is>
      </c>
      <c r="D130">
        <f>IF('Сырые ответы'!AK28="","",'Сырые ответы'!AK28)</f>
        <v/>
      </c>
    </row>
    <row r="131">
      <c r="A131">
        <f>'Сырые ответы'!B29</f>
        <v/>
      </c>
      <c r="B131" t="inlineStr">
        <is>
          <t>D8</t>
        </is>
      </c>
      <c r="C131" t="inlineStr">
        <is>
          <t>Перерасход бюджета</t>
        </is>
      </c>
      <c r="D131">
        <f>IF('Сырые ответы'!AK29="","",'Сырые ответы'!AK29)</f>
        <v/>
      </c>
    </row>
    <row r="132">
      <c r="A132">
        <f>'Сырые ответы'!B30</f>
        <v/>
      </c>
      <c r="B132" t="inlineStr">
        <is>
          <t>D8</t>
        </is>
      </c>
      <c r="C132" t="inlineStr">
        <is>
          <t>Перерасход бюджета</t>
        </is>
      </c>
      <c r="D132">
        <f>IF('Сырые ответы'!AK30="","",'Сырые ответы'!AK30)</f>
        <v/>
      </c>
    </row>
    <row r="133">
      <c r="A133">
        <f>'Сырые ответы'!B31</f>
        <v/>
      </c>
      <c r="B133" t="inlineStr">
        <is>
          <t>D8</t>
        </is>
      </c>
      <c r="C133" t="inlineStr">
        <is>
          <t>Перерасход бюджета</t>
        </is>
      </c>
      <c r="D133">
        <f>IF('Сырые ответы'!AK31="","",'Сырые ответы'!AK31)</f>
        <v/>
      </c>
    </row>
    <row r="134">
      <c r="A134">
        <f>'Сырые ответы'!B32</f>
        <v/>
      </c>
      <c r="B134" t="inlineStr">
        <is>
          <t>D8</t>
        </is>
      </c>
      <c r="C134" t="inlineStr">
        <is>
          <t>Перерасход бюджета</t>
        </is>
      </c>
      <c r="D134">
        <f>IF('Сырые ответы'!AK32="","",'Сырые ответы'!AK32)</f>
        <v/>
      </c>
    </row>
    <row r="135">
      <c r="A135">
        <f>'Сырые ответы'!B33</f>
        <v/>
      </c>
      <c r="B135" t="inlineStr">
        <is>
          <t>D8</t>
        </is>
      </c>
      <c r="C135" t="inlineStr">
        <is>
          <t>Перерасход бюджета</t>
        </is>
      </c>
      <c r="D135">
        <f>IF('Сырые ответы'!AK33="","",'Сырые ответы'!AK33)</f>
        <v/>
      </c>
    </row>
    <row r="136">
      <c r="A136">
        <f>'Сырые ответы'!B34</f>
        <v/>
      </c>
      <c r="B136" t="inlineStr">
        <is>
          <t>D8</t>
        </is>
      </c>
      <c r="C136" t="inlineStr">
        <is>
          <t>Перерасход бюджета</t>
        </is>
      </c>
      <c r="D136">
        <f>IF('Сырые ответы'!AK34="","",'Сырые ответы'!AK34)</f>
        <v/>
      </c>
    </row>
    <row r="137">
      <c r="A137">
        <f>'Сырые ответы'!B35</f>
        <v/>
      </c>
      <c r="B137" t="inlineStr">
        <is>
          <t>D8</t>
        </is>
      </c>
      <c r="C137" t="inlineStr">
        <is>
          <t>Перерасход бюджета</t>
        </is>
      </c>
      <c r="D137">
        <f>IF('Сырые ответы'!AK35="","",'Сырые ответы'!AK35)</f>
        <v/>
      </c>
    </row>
    <row r="138">
      <c r="A138">
        <f>'Сырые ответы'!B36</f>
        <v/>
      </c>
      <c r="B138" t="inlineStr">
        <is>
          <t>D8</t>
        </is>
      </c>
      <c r="C138" t="inlineStr">
        <is>
          <t>Перерасход бюджета</t>
        </is>
      </c>
      <c r="D138">
        <f>IF('Сырые ответы'!AK36="","",'Сырые ответы'!AK36)</f>
        <v/>
      </c>
    </row>
    <row r="139">
      <c r="A139">
        <f>'Сырые ответы'!B37</f>
        <v/>
      </c>
      <c r="B139" t="inlineStr">
        <is>
          <t>D8</t>
        </is>
      </c>
      <c r="C139" t="inlineStr">
        <is>
          <t>Перерасход бюджета</t>
        </is>
      </c>
      <c r="D139">
        <f>IF('Сырые ответы'!AK37="","",'Сырые ответы'!AK37)</f>
        <v/>
      </c>
    </row>
    <row r="140">
      <c r="A140">
        <f>'Сырые ответы'!B38</f>
        <v/>
      </c>
      <c r="B140" t="inlineStr">
        <is>
          <t>D8</t>
        </is>
      </c>
      <c r="C140" t="inlineStr">
        <is>
          <t>Перерасход бюджета</t>
        </is>
      </c>
      <c r="D140">
        <f>IF('Сырые ответы'!AK38="","",'Сырые ответы'!AK38)</f>
        <v/>
      </c>
    </row>
    <row r="141">
      <c r="A141">
        <f>'Сырые ответы'!B39</f>
        <v/>
      </c>
      <c r="B141" t="inlineStr">
        <is>
          <t>D8</t>
        </is>
      </c>
      <c r="C141" t="inlineStr">
        <is>
          <t>Перерасход бюджета</t>
        </is>
      </c>
      <c r="D141">
        <f>IF('Сырые ответы'!AK39="","",'Сырые ответы'!AK39)</f>
        <v/>
      </c>
    </row>
    <row r="142">
      <c r="A142">
        <f>'Сырые ответы'!B40</f>
        <v/>
      </c>
      <c r="B142" t="inlineStr">
        <is>
          <t>D8</t>
        </is>
      </c>
      <c r="C142" t="inlineStr">
        <is>
          <t>Перерасход бюджета</t>
        </is>
      </c>
      <c r="D142">
        <f>IF('Сырые ответы'!AK40="","",'Сырые ответы'!AK40)</f>
        <v/>
      </c>
    </row>
    <row r="143">
      <c r="A143">
        <f>'Сырые ответы'!B41</f>
        <v/>
      </c>
      <c r="B143" t="inlineStr">
        <is>
          <t>D8</t>
        </is>
      </c>
      <c r="C143" t="inlineStr">
        <is>
          <t>Перерасход бюджета</t>
        </is>
      </c>
      <c r="D143">
        <f>IF('Сырые ответы'!AK41="","",'Сырые ответы'!AK41)</f>
        <v/>
      </c>
    </row>
    <row r="144">
      <c r="A144">
        <f>'Сырые ответы'!B42</f>
        <v/>
      </c>
      <c r="B144" t="inlineStr">
        <is>
          <t>D8</t>
        </is>
      </c>
      <c r="C144" t="inlineStr">
        <is>
          <t>Перерасход бюджета</t>
        </is>
      </c>
      <c r="D144">
        <f>IF('Сырые ответы'!AK42="","",'Сырые ответы'!AK42)</f>
        <v/>
      </c>
    </row>
    <row r="145">
      <c r="A145">
        <f>'Сырые ответы'!B43</f>
        <v/>
      </c>
      <c r="B145" t="inlineStr">
        <is>
          <t>D8</t>
        </is>
      </c>
      <c r="C145" t="inlineStr">
        <is>
          <t>Перерасход бюджета</t>
        </is>
      </c>
      <c r="D145">
        <f>IF('Сырые ответы'!AK43="","",'Сырые ответы'!AK43)</f>
        <v/>
      </c>
    </row>
    <row r="146">
      <c r="A146">
        <f>'Сырые ответы'!B44</f>
        <v/>
      </c>
      <c r="B146" t="inlineStr">
        <is>
          <t>D8</t>
        </is>
      </c>
      <c r="C146" t="inlineStr">
        <is>
          <t>Перерасход бюджета</t>
        </is>
      </c>
      <c r="D146">
        <f>IF('Сырые ответы'!AK44="","",'Сырые ответы'!AK44)</f>
        <v/>
      </c>
    </row>
    <row r="147">
      <c r="A147">
        <f>'Сырые ответы'!B45</f>
        <v/>
      </c>
      <c r="B147" t="inlineStr">
        <is>
          <t>D8</t>
        </is>
      </c>
      <c r="C147" t="inlineStr">
        <is>
          <t>Перерасход бюджета</t>
        </is>
      </c>
      <c r="D147">
        <f>IF('Сырые ответы'!AK45="","",'Сырые ответы'!AK45)</f>
        <v/>
      </c>
    </row>
    <row r="148">
      <c r="A148">
        <f>'Сырые ответы'!B46</f>
        <v/>
      </c>
      <c r="B148" t="inlineStr">
        <is>
          <t>D8</t>
        </is>
      </c>
      <c r="C148" t="inlineStr">
        <is>
          <t>Перерасход бюджета</t>
        </is>
      </c>
      <c r="D148">
        <f>IF('Сырые ответы'!AK46="","",'Сырые ответы'!AK46)</f>
        <v/>
      </c>
    </row>
    <row r="149">
      <c r="A149">
        <f>'Сырые ответы'!B47</f>
        <v/>
      </c>
      <c r="B149" t="inlineStr">
        <is>
          <t>D8</t>
        </is>
      </c>
      <c r="C149" t="inlineStr">
        <is>
          <t>Перерасход бюджета</t>
        </is>
      </c>
      <c r="D149">
        <f>IF('Сырые ответы'!AK47="","",'Сырые ответы'!AK47)</f>
        <v/>
      </c>
    </row>
    <row r="150">
      <c r="A150">
        <f>'Сырые ответы'!B48</f>
        <v/>
      </c>
      <c r="B150" t="inlineStr">
        <is>
          <t>D8</t>
        </is>
      </c>
      <c r="C150" t="inlineStr">
        <is>
          <t>Перерасход бюджета</t>
        </is>
      </c>
      <c r="D150">
        <f>IF('Сырые ответы'!AK48="","",'Сырые ответы'!AK48)</f>
        <v/>
      </c>
    </row>
    <row r="151">
      <c r="A151">
        <f>'Сырые ответы'!B49</f>
        <v/>
      </c>
      <c r="B151" t="inlineStr">
        <is>
          <t>D8</t>
        </is>
      </c>
      <c r="C151" t="inlineStr">
        <is>
          <t>Перерасход бюджета</t>
        </is>
      </c>
      <c r="D151">
        <f>IF('Сырые ответы'!AK49="","",'Сырые ответы'!AK49)</f>
        <v/>
      </c>
    </row>
    <row r="152">
      <c r="A152">
        <f>'Сырые ответы'!B50</f>
        <v/>
      </c>
      <c r="B152" t="inlineStr">
        <is>
          <t>D8</t>
        </is>
      </c>
      <c r="C152" t="inlineStr">
        <is>
          <t>Перерасход бюджета</t>
        </is>
      </c>
      <c r="D152">
        <f>IF('Сырые ответы'!AK50="","",'Сырые ответы'!AK50)</f>
        <v/>
      </c>
    </row>
    <row r="153">
      <c r="A153">
        <f>'Сырые ответы'!B51</f>
        <v/>
      </c>
      <c r="B153" t="inlineStr">
        <is>
          <t>D8</t>
        </is>
      </c>
      <c r="C153" t="inlineStr">
        <is>
          <t>Перерасход бюджета</t>
        </is>
      </c>
      <c r="D153">
        <f>IF('Сырые ответы'!AK51="","",'Сырые ответы'!AK51)</f>
        <v/>
      </c>
    </row>
    <row r="154">
      <c r="A154">
        <f>'Сырые ответы'!B2</f>
        <v/>
      </c>
      <c r="B154" t="inlineStr">
        <is>
          <t>E7</t>
        </is>
      </c>
      <c r="C154" t="inlineStr">
        <is>
          <t>Открытие филиала</t>
        </is>
      </c>
      <c r="D154">
        <f>IF('Сырые ответы'!AR2="","",'Сырые ответы'!AR2)</f>
        <v/>
      </c>
    </row>
    <row r="155">
      <c r="A155">
        <f>'Сырые ответы'!B3</f>
        <v/>
      </c>
      <c r="B155" t="inlineStr">
        <is>
          <t>E7</t>
        </is>
      </c>
      <c r="C155" t="inlineStr">
        <is>
          <t>Открытие филиала</t>
        </is>
      </c>
      <c r="D155">
        <f>IF('Сырые ответы'!AR3="","",'Сырые ответы'!AR3)</f>
        <v/>
      </c>
    </row>
    <row r="156">
      <c r="A156">
        <f>'Сырые ответы'!B4</f>
        <v/>
      </c>
      <c r="B156" t="inlineStr">
        <is>
          <t>E7</t>
        </is>
      </c>
      <c r="C156" t="inlineStr">
        <is>
          <t>Открытие филиала</t>
        </is>
      </c>
      <c r="D156">
        <f>IF('Сырые ответы'!AR4="","",'Сырые ответы'!AR4)</f>
        <v/>
      </c>
    </row>
    <row r="157">
      <c r="A157">
        <f>'Сырые ответы'!B5</f>
        <v/>
      </c>
      <c r="B157" t="inlineStr">
        <is>
          <t>E7</t>
        </is>
      </c>
      <c r="C157" t="inlineStr">
        <is>
          <t>Открытие филиала</t>
        </is>
      </c>
      <c r="D157">
        <f>IF('Сырые ответы'!AR5="","",'Сырые ответы'!AR5)</f>
        <v/>
      </c>
    </row>
    <row r="158">
      <c r="A158">
        <f>'Сырые ответы'!B6</f>
        <v/>
      </c>
      <c r="B158" t="inlineStr">
        <is>
          <t>E7</t>
        </is>
      </c>
      <c r="C158" t="inlineStr">
        <is>
          <t>Открытие филиала</t>
        </is>
      </c>
      <c r="D158">
        <f>IF('Сырые ответы'!AR6="","",'Сырые ответы'!AR6)</f>
        <v/>
      </c>
    </row>
    <row r="159">
      <c r="A159">
        <f>'Сырые ответы'!B7</f>
        <v/>
      </c>
      <c r="B159" t="inlineStr">
        <is>
          <t>E7</t>
        </is>
      </c>
      <c r="C159" t="inlineStr">
        <is>
          <t>Открытие филиала</t>
        </is>
      </c>
      <c r="D159">
        <f>IF('Сырые ответы'!AR7="","",'Сырые ответы'!AR7)</f>
        <v/>
      </c>
    </row>
    <row r="160">
      <c r="A160">
        <f>'Сырые ответы'!B8</f>
        <v/>
      </c>
      <c r="B160" t="inlineStr">
        <is>
          <t>E7</t>
        </is>
      </c>
      <c r="C160" t="inlineStr">
        <is>
          <t>Открытие филиала</t>
        </is>
      </c>
      <c r="D160">
        <f>IF('Сырые ответы'!AR8="","",'Сырые ответы'!AR8)</f>
        <v/>
      </c>
    </row>
    <row r="161">
      <c r="A161">
        <f>'Сырые ответы'!B9</f>
        <v/>
      </c>
      <c r="B161" t="inlineStr">
        <is>
          <t>E7</t>
        </is>
      </c>
      <c r="C161" t="inlineStr">
        <is>
          <t>Открытие филиала</t>
        </is>
      </c>
      <c r="D161">
        <f>IF('Сырые ответы'!AR9="","",'Сырые ответы'!AR9)</f>
        <v/>
      </c>
    </row>
    <row r="162">
      <c r="A162">
        <f>'Сырые ответы'!B10</f>
        <v/>
      </c>
      <c r="B162" t="inlineStr">
        <is>
          <t>E7</t>
        </is>
      </c>
      <c r="C162" t="inlineStr">
        <is>
          <t>Открытие филиала</t>
        </is>
      </c>
      <c r="D162">
        <f>IF('Сырые ответы'!AR10="","",'Сырые ответы'!AR10)</f>
        <v/>
      </c>
    </row>
    <row r="163">
      <c r="A163">
        <f>'Сырые ответы'!B11</f>
        <v/>
      </c>
      <c r="B163" t="inlineStr">
        <is>
          <t>E7</t>
        </is>
      </c>
      <c r="C163" t="inlineStr">
        <is>
          <t>Открытие филиала</t>
        </is>
      </c>
      <c r="D163">
        <f>IF('Сырые ответы'!AR11="","",'Сырые ответы'!AR11)</f>
        <v/>
      </c>
    </row>
    <row r="164">
      <c r="A164">
        <f>'Сырые ответы'!B12</f>
        <v/>
      </c>
      <c r="B164" t="inlineStr">
        <is>
          <t>E7</t>
        </is>
      </c>
      <c r="C164" t="inlineStr">
        <is>
          <t>Открытие филиала</t>
        </is>
      </c>
      <c r="D164">
        <f>IF('Сырые ответы'!AR12="","",'Сырые ответы'!AR12)</f>
        <v/>
      </c>
    </row>
    <row r="165">
      <c r="A165">
        <f>'Сырые ответы'!B13</f>
        <v/>
      </c>
      <c r="B165" t="inlineStr">
        <is>
          <t>E7</t>
        </is>
      </c>
      <c r="C165" t="inlineStr">
        <is>
          <t>Открытие филиала</t>
        </is>
      </c>
      <c r="D165">
        <f>IF('Сырые ответы'!AR13="","",'Сырые ответы'!AR13)</f>
        <v/>
      </c>
    </row>
    <row r="166">
      <c r="A166">
        <f>'Сырые ответы'!B14</f>
        <v/>
      </c>
      <c r="B166" t="inlineStr">
        <is>
          <t>E7</t>
        </is>
      </c>
      <c r="C166" t="inlineStr">
        <is>
          <t>Открытие филиала</t>
        </is>
      </c>
      <c r="D166">
        <f>IF('Сырые ответы'!AR14="","",'Сырые ответы'!AR14)</f>
        <v/>
      </c>
    </row>
    <row r="167">
      <c r="A167">
        <f>'Сырые ответы'!B15</f>
        <v/>
      </c>
      <c r="B167" t="inlineStr">
        <is>
          <t>E7</t>
        </is>
      </c>
      <c r="C167" t="inlineStr">
        <is>
          <t>Открытие филиала</t>
        </is>
      </c>
      <c r="D167">
        <f>IF('Сырые ответы'!AR15="","",'Сырые ответы'!AR15)</f>
        <v/>
      </c>
    </row>
    <row r="168">
      <c r="A168">
        <f>'Сырые ответы'!B16</f>
        <v/>
      </c>
      <c r="B168" t="inlineStr">
        <is>
          <t>E7</t>
        </is>
      </c>
      <c r="C168" t="inlineStr">
        <is>
          <t>Открытие филиала</t>
        </is>
      </c>
      <c r="D168">
        <f>IF('Сырые ответы'!AR16="","",'Сырые ответы'!AR16)</f>
        <v/>
      </c>
    </row>
    <row r="169">
      <c r="A169">
        <f>'Сырые ответы'!B17</f>
        <v/>
      </c>
      <c r="B169" t="inlineStr">
        <is>
          <t>E7</t>
        </is>
      </c>
      <c r="C169" t="inlineStr">
        <is>
          <t>Открытие филиала</t>
        </is>
      </c>
      <c r="D169">
        <f>IF('Сырые ответы'!AR17="","",'Сырые ответы'!AR17)</f>
        <v/>
      </c>
    </row>
    <row r="170">
      <c r="A170">
        <f>'Сырые ответы'!B18</f>
        <v/>
      </c>
      <c r="B170" t="inlineStr">
        <is>
          <t>E7</t>
        </is>
      </c>
      <c r="C170" t="inlineStr">
        <is>
          <t>Открытие филиала</t>
        </is>
      </c>
      <c r="D170">
        <f>IF('Сырые ответы'!AR18="","",'Сырые ответы'!AR18)</f>
        <v/>
      </c>
    </row>
    <row r="171">
      <c r="A171">
        <f>'Сырые ответы'!B19</f>
        <v/>
      </c>
      <c r="B171" t="inlineStr">
        <is>
          <t>E7</t>
        </is>
      </c>
      <c r="C171" t="inlineStr">
        <is>
          <t>Открытие филиала</t>
        </is>
      </c>
      <c r="D171">
        <f>IF('Сырые ответы'!AR19="","",'Сырые ответы'!AR19)</f>
        <v/>
      </c>
    </row>
    <row r="172">
      <c r="A172">
        <f>'Сырые ответы'!B20</f>
        <v/>
      </c>
      <c r="B172" t="inlineStr">
        <is>
          <t>E7</t>
        </is>
      </c>
      <c r="C172" t="inlineStr">
        <is>
          <t>Открытие филиала</t>
        </is>
      </c>
      <c r="D172">
        <f>IF('Сырые ответы'!AR20="","",'Сырые ответы'!AR20)</f>
        <v/>
      </c>
    </row>
    <row r="173">
      <c r="A173">
        <f>'Сырые ответы'!B21</f>
        <v/>
      </c>
      <c r="B173" t="inlineStr">
        <is>
          <t>E7</t>
        </is>
      </c>
      <c r="C173" t="inlineStr">
        <is>
          <t>Открытие филиала</t>
        </is>
      </c>
      <c r="D173">
        <f>IF('Сырые ответы'!AR21="","",'Сырые ответы'!AR21)</f>
        <v/>
      </c>
    </row>
    <row r="174">
      <c r="A174">
        <f>'Сырые ответы'!B22</f>
        <v/>
      </c>
      <c r="B174" t="inlineStr">
        <is>
          <t>E7</t>
        </is>
      </c>
      <c r="C174" t="inlineStr">
        <is>
          <t>Открытие филиала</t>
        </is>
      </c>
      <c r="D174">
        <f>IF('Сырые ответы'!AR22="","",'Сырые ответы'!AR22)</f>
        <v/>
      </c>
    </row>
    <row r="175">
      <c r="A175">
        <f>'Сырые ответы'!B23</f>
        <v/>
      </c>
      <c r="B175" t="inlineStr">
        <is>
          <t>E7</t>
        </is>
      </c>
      <c r="C175" t="inlineStr">
        <is>
          <t>Открытие филиала</t>
        </is>
      </c>
      <c r="D175">
        <f>IF('Сырые ответы'!AR23="","",'Сырые ответы'!AR23)</f>
        <v/>
      </c>
    </row>
    <row r="176">
      <c r="A176">
        <f>'Сырые ответы'!B24</f>
        <v/>
      </c>
      <c r="B176" t="inlineStr">
        <is>
          <t>E7</t>
        </is>
      </c>
      <c r="C176" t="inlineStr">
        <is>
          <t>Открытие филиала</t>
        </is>
      </c>
      <c r="D176">
        <f>IF('Сырые ответы'!AR24="","",'Сырые ответы'!AR24)</f>
        <v/>
      </c>
    </row>
    <row r="177">
      <c r="A177">
        <f>'Сырые ответы'!B25</f>
        <v/>
      </c>
      <c r="B177" t="inlineStr">
        <is>
          <t>E7</t>
        </is>
      </c>
      <c r="C177" t="inlineStr">
        <is>
          <t>Открытие филиала</t>
        </is>
      </c>
      <c r="D177">
        <f>IF('Сырые ответы'!AR25="","",'Сырые ответы'!AR25)</f>
        <v/>
      </c>
    </row>
    <row r="178">
      <c r="A178">
        <f>'Сырые ответы'!B26</f>
        <v/>
      </c>
      <c r="B178" t="inlineStr">
        <is>
          <t>E7</t>
        </is>
      </c>
      <c r="C178" t="inlineStr">
        <is>
          <t>Открытие филиала</t>
        </is>
      </c>
      <c r="D178">
        <f>IF('Сырые ответы'!AR26="","",'Сырые ответы'!AR26)</f>
        <v/>
      </c>
    </row>
    <row r="179">
      <c r="A179">
        <f>'Сырые ответы'!B27</f>
        <v/>
      </c>
      <c r="B179" t="inlineStr">
        <is>
          <t>E7</t>
        </is>
      </c>
      <c r="C179" t="inlineStr">
        <is>
          <t>Открытие филиала</t>
        </is>
      </c>
      <c r="D179">
        <f>IF('Сырые ответы'!AR27="","",'Сырые ответы'!AR27)</f>
        <v/>
      </c>
    </row>
    <row r="180">
      <c r="A180">
        <f>'Сырые ответы'!B28</f>
        <v/>
      </c>
      <c r="B180" t="inlineStr">
        <is>
          <t>E7</t>
        </is>
      </c>
      <c r="C180" t="inlineStr">
        <is>
          <t>Открытие филиала</t>
        </is>
      </c>
      <c r="D180">
        <f>IF('Сырые ответы'!AR28="","",'Сырые ответы'!AR28)</f>
        <v/>
      </c>
    </row>
    <row r="181">
      <c r="A181">
        <f>'Сырые ответы'!B29</f>
        <v/>
      </c>
      <c r="B181" t="inlineStr">
        <is>
          <t>E7</t>
        </is>
      </c>
      <c r="C181" t="inlineStr">
        <is>
          <t>Открытие филиала</t>
        </is>
      </c>
      <c r="D181">
        <f>IF('Сырые ответы'!AR29="","",'Сырые ответы'!AR29)</f>
        <v/>
      </c>
    </row>
    <row r="182">
      <c r="A182">
        <f>'Сырые ответы'!B30</f>
        <v/>
      </c>
      <c r="B182" t="inlineStr">
        <is>
          <t>E7</t>
        </is>
      </c>
      <c r="C182" t="inlineStr">
        <is>
          <t>Открытие филиала</t>
        </is>
      </c>
      <c r="D182">
        <f>IF('Сырые ответы'!AR30="","",'Сырые ответы'!AR30)</f>
        <v/>
      </c>
    </row>
    <row r="183">
      <c r="A183">
        <f>'Сырые ответы'!B31</f>
        <v/>
      </c>
      <c r="B183" t="inlineStr">
        <is>
          <t>E7</t>
        </is>
      </c>
      <c r="C183" t="inlineStr">
        <is>
          <t>Открытие филиала</t>
        </is>
      </c>
      <c r="D183">
        <f>IF('Сырые ответы'!AR31="","",'Сырые ответы'!AR31)</f>
        <v/>
      </c>
    </row>
    <row r="184">
      <c r="A184">
        <f>'Сырые ответы'!B32</f>
        <v/>
      </c>
      <c r="B184" t="inlineStr">
        <is>
          <t>E7</t>
        </is>
      </c>
      <c r="C184" t="inlineStr">
        <is>
          <t>Открытие филиала</t>
        </is>
      </c>
      <c r="D184">
        <f>IF('Сырые ответы'!AR32="","",'Сырые ответы'!AR32)</f>
        <v/>
      </c>
    </row>
    <row r="185">
      <c r="A185">
        <f>'Сырые ответы'!B33</f>
        <v/>
      </c>
      <c r="B185" t="inlineStr">
        <is>
          <t>E7</t>
        </is>
      </c>
      <c r="C185" t="inlineStr">
        <is>
          <t>Открытие филиала</t>
        </is>
      </c>
      <c r="D185">
        <f>IF('Сырые ответы'!AR33="","",'Сырые ответы'!AR33)</f>
        <v/>
      </c>
    </row>
    <row r="186">
      <c r="A186">
        <f>'Сырые ответы'!B34</f>
        <v/>
      </c>
      <c r="B186" t="inlineStr">
        <is>
          <t>E7</t>
        </is>
      </c>
      <c r="C186" t="inlineStr">
        <is>
          <t>Открытие филиала</t>
        </is>
      </c>
      <c r="D186">
        <f>IF('Сырые ответы'!AR34="","",'Сырые ответы'!AR34)</f>
        <v/>
      </c>
    </row>
    <row r="187">
      <c r="A187">
        <f>'Сырые ответы'!B35</f>
        <v/>
      </c>
      <c r="B187" t="inlineStr">
        <is>
          <t>E7</t>
        </is>
      </c>
      <c r="C187" t="inlineStr">
        <is>
          <t>Открытие филиала</t>
        </is>
      </c>
      <c r="D187">
        <f>IF('Сырые ответы'!AR35="","",'Сырые ответы'!AR35)</f>
        <v/>
      </c>
    </row>
    <row r="188">
      <c r="A188">
        <f>'Сырые ответы'!B36</f>
        <v/>
      </c>
      <c r="B188" t="inlineStr">
        <is>
          <t>E7</t>
        </is>
      </c>
      <c r="C188" t="inlineStr">
        <is>
          <t>Открытие филиала</t>
        </is>
      </c>
      <c r="D188">
        <f>IF('Сырые ответы'!AR36="","",'Сырые ответы'!AR36)</f>
        <v/>
      </c>
    </row>
    <row r="189">
      <c r="A189">
        <f>'Сырые ответы'!B37</f>
        <v/>
      </c>
      <c r="B189" t="inlineStr">
        <is>
          <t>E7</t>
        </is>
      </c>
      <c r="C189" t="inlineStr">
        <is>
          <t>Открытие филиала</t>
        </is>
      </c>
      <c r="D189">
        <f>IF('Сырые ответы'!AR37="","",'Сырые ответы'!AR37)</f>
        <v/>
      </c>
    </row>
    <row r="190">
      <c r="A190">
        <f>'Сырые ответы'!B38</f>
        <v/>
      </c>
      <c r="B190" t="inlineStr">
        <is>
          <t>E7</t>
        </is>
      </c>
      <c r="C190" t="inlineStr">
        <is>
          <t>Открытие филиала</t>
        </is>
      </c>
      <c r="D190">
        <f>IF('Сырые ответы'!AR38="","",'Сырые ответы'!AR38)</f>
        <v/>
      </c>
    </row>
    <row r="191">
      <c r="A191">
        <f>'Сырые ответы'!B39</f>
        <v/>
      </c>
      <c r="B191" t="inlineStr">
        <is>
          <t>E7</t>
        </is>
      </c>
      <c r="C191" t="inlineStr">
        <is>
          <t>Открытие филиала</t>
        </is>
      </c>
      <c r="D191">
        <f>IF('Сырые ответы'!AR39="","",'Сырые ответы'!AR39)</f>
        <v/>
      </c>
    </row>
    <row r="192">
      <c r="A192">
        <f>'Сырые ответы'!B40</f>
        <v/>
      </c>
      <c r="B192" t="inlineStr">
        <is>
          <t>E7</t>
        </is>
      </c>
      <c r="C192" t="inlineStr">
        <is>
          <t>Открытие филиала</t>
        </is>
      </c>
      <c r="D192">
        <f>IF('Сырые ответы'!AR40="","",'Сырые ответы'!AR40)</f>
        <v/>
      </c>
    </row>
    <row r="193">
      <c r="A193">
        <f>'Сырые ответы'!B41</f>
        <v/>
      </c>
      <c r="B193" t="inlineStr">
        <is>
          <t>E7</t>
        </is>
      </c>
      <c r="C193" t="inlineStr">
        <is>
          <t>Открытие филиала</t>
        </is>
      </c>
      <c r="D193">
        <f>IF('Сырые ответы'!AR41="","",'Сырые ответы'!AR41)</f>
        <v/>
      </c>
    </row>
    <row r="194">
      <c r="A194">
        <f>'Сырые ответы'!B42</f>
        <v/>
      </c>
      <c r="B194" t="inlineStr">
        <is>
          <t>E7</t>
        </is>
      </c>
      <c r="C194" t="inlineStr">
        <is>
          <t>Открытие филиала</t>
        </is>
      </c>
      <c r="D194">
        <f>IF('Сырые ответы'!AR42="","",'Сырые ответы'!AR42)</f>
        <v/>
      </c>
    </row>
    <row r="195">
      <c r="A195">
        <f>'Сырые ответы'!B43</f>
        <v/>
      </c>
      <c r="B195" t="inlineStr">
        <is>
          <t>E7</t>
        </is>
      </c>
      <c r="C195" t="inlineStr">
        <is>
          <t>Открытие филиала</t>
        </is>
      </c>
      <c r="D195">
        <f>IF('Сырые ответы'!AR43="","",'Сырые ответы'!AR43)</f>
        <v/>
      </c>
    </row>
    <row r="196">
      <c r="A196">
        <f>'Сырые ответы'!B44</f>
        <v/>
      </c>
      <c r="B196" t="inlineStr">
        <is>
          <t>E7</t>
        </is>
      </c>
      <c r="C196" t="inlineStr">
        <is>
          <t>Открытие филиала</t>
        </is>
      </c>
      <c r="D196">
        <f>IF('Сырые ответы'!AR44="","",'Сырые ответы'!AR44)</f>
        <v/>
      </c>
    </row>
    <row r="197">
      <c r="A197">
        <f>'Сырые ответы'!B45</f>
        <v/>
      </c>
      <c r="B197" t="inlineStr">
        <is>
          <t>E7</t>
        </is>
      </c>
      <c r="C197" t="inlineStr">
        <is>
          <t>Открытие филиала</t>
        </is>
      </c>
      <c r="D197">
        <f>IF('Сырые ответы'!AR45="","",'Сырые ответы'!AR45)</f>
        <v/>
      </c>
    </row>
    <row r="198">
      <c r="A198">
        <f>'Сырые ответы'!B46</f>
        <v/>
      </c>
      <c r="B198" t="inlineStr">
        <is>
          <t>E7</t>
        </is>
      </c>
      <c r="C198" t="inlineStr">
        <is>
          <t>Открытие филиала</t>
        </is>
      </c>
      <c r="D198">
        <f>IF('Сырые ответы'!AR46="","",'Сырые ответы'!AR46)</f>
        <v/>
      </c>
    </row>
    <row r="199">
      <c r="A199">
        <f>'Сырые ответы'!B47</f>
        <v/>
      </c>
      <c r="B199" t="inlineStr">
        <is>
          <t>E7</t>
        </is>
      </c>
      <c r="C199" t="inlineStr">
        <is>
          <t>Открытие филиала</t>
        </is>
      </c>
      <c r="D199">
        <f>IF('Сырые ответы'!AR47="","",'Сырые ответы'!AR47)</f>
        <v/>
      </c>
    </row>
    <row r="200">
      <c r="A200">
        <f>'Сырые ответы'!B48</f>
        <v/>
      </c>
      <c r="B200" t="inlineStr">
        <is>
          <t>E7</t>
        </is>
      </c>
      <c r="C200" t="inlineStr">
        <is>
          <t>Открытие филиала</t>
        </is>
      </c>
      <c r="D200">
        <f>IF('Сырые ответы'!AR48="","",'Сырые ответы'!AR48)</f>
        <v/>
      </c>
    </row>
    <row r="201">
      <c r="A201">
        <f>'Сырые ответы'!B49</f>
        <v/>
      </c>
      <c r="B201" t="inlineStr">
        <is>
          <t>E7</t>
        </is>
      </c>
      <c r="C201" t="inlineStr">
        <is>
          <t>Открытие филиала</t>
        </is>
      </c>
      <c r="D201">
        <f>IF('Сырые ответы'!AR49="","",'Сырые ответы'!AR49)</f>
        <v/>
      </c>
    </row>
    <row r="202">
      <c r="A202">
        <f>'Сырые ответы'!B50</f>
        <v/>
      </c>
      <c r="B202" t="inlineStr">
        <is>
          <t>E7</t>
        </is>
      </c>
      <c r="C202" t="inlineStr">
        <is>
          <t>Открытие филиала</t>
        </is>
      </c>
      <c r="D202">
        <f>IF('Сырые ответы'!AR50="","",'Сырые ответы'!AR50)</f>
        <v/>
      </c>
    </row>
    <row r="203">
      <c r="A203">
        <f>'Сырые ответы'!B51</f>
        <v/>
      </c>
      <c r="B203" t="inlineStr">
        <is>
          <t>E7</t>
        </is>
      </c>
      <c r="C203" t="inlineStr">
        <is>
          <t>Открытие филиала</t>
        </is>
      </c>
      <c r="D203">
        <f>IF('Сырые ответы'!AR51="","",'Сырые ответы'!AR51)</f>
        <v/>
      </c>
    </row>
    <row r="204">
      <c r="A204">
        <f>'Сырые ответы'!B2</f>
        <v/>
      </c>
      <c r="B204" t="inlineStr">
        <is>
          <t>E8</t>
        </is>
      </c>
      <c r="C204" t="inlineStr">
        <is>
          <t>Улучшение взаимодействия с ДУП</t>
        </is>
      </c>
      <c r="D204">
        <f>IF('Сырые ответы'!AS2="","",'Сырые ответы'!AS2)</f>
        <v/>
      </c>
    </row>
    <row r="205">
      <c r="A205">
        <f>'Сырые ответы'!B3</f>
        <v/>
      </c>
      <c r="B205" t="inlineStr">
        <is>
          <t>E8</t>
        </is>
      </c>
      <c r="C205" t="inlineStr">
        <is>
          <t>Улучшение взаимодействия с ДУП</t>
        </is>
      </c>
      <c r="D205">
        <f>IF('Сырые ответы'!AS3="","",'Сырые ответы'!AS3)</f>
        <v/>
      </c>
    </row>
    <row r="206">
      <c r="A206">
        <f>'Сырые ответы'!B4</f>
        <v/>
      </c>
      <c r="B206" t="inlineStr">
        <is>
          <t>E8</t>
        </is>
      </c>
      <c r="C206" t="inlineStr">
        <is>
          <t>Улучшение взаимодействия с ДУП</t>
        </is>
      </c>
      <c r="D206">
        <f>IF('Сырые ответы'!AS4="","",'Сырые ответы'!AS4)</f>
        <v/>
      </c>
    </row>
    <row r="207">
      <c r="A207">
        <f>'Сырые ответы'!B5</f>
        <v/>
      </c>
      <c r="B207" t="inlineStr">
        <is>
          <t>E8</t>
        </is>
      </c>
      <c r="C207" t="inlineStr">
        <is>
          <t>Улучшение взаимодействия с ДУП</t>
        </is>
      </c>
      <c r="D207">
        <f>IF('Сырые ответы'!AS5="","",'Сырые ответы'!AS5)</f>
        <v/>
      </c>
    </row>
    <row r="208">
      <c r="A208">
        <f>'Сырые ответы'!B6</f>
        <v/>
      </c>
      <c r="B208" t="inlineStr">
        <is>
          <t>E8</t>
        </is>
      </c>
      <c r="C208" t="inlineStr">
        <is>
          <t>Улучшение взаимодействия с ДУП</t>
        </is>
      </c>
      <c r="D208">
        <f>IF('Сырые ответы'!AS6="","",'Сырые ответы'!AS6)</f>
        <v/>
      </c>
    </row>
    <row r="209">
      <c r="A209">
        <f>'Сырые ответы'!B7</f>
        <v/>
      </c>
      <c r="B209" t="inlineStr">
        <is>
          <t>E8</t>
        </is>
      </c>
      <c r="C209" t="inlineStr">
        <is>
          <t>Улучшение взаимодействия с ДУП</t>
        </is>
      </c>
      <c r="D209">
        <f>IF('Сырые ответы'!AS7="","",'Сырые ответы'!AS7)</f>
        <v/>
      </c>
    </row>
    <row r="210">
      <c r="A210">
        <f>'Сырые ответы'!B8</f>
        <v/>
      </c>
      <c r="B210" t="inlineStr">
        <is>
          <t>E8</t>
        </is>
      </c>
      <c r="C210" t="inlineStr">
        <is>
          <t>Улучшение взаимодействия с ДУП</t>
        </is>
      </c>
      <c r="D210">
        <f>IF('Сырые ответы'!AS8="","",'Сырые ответы'!AS8)</f>
        <v/>
      </c>
    </row>
    <row r="211">
      <c r="A211">
        <f>'Сырые ответы'!B9</f>
        <v/>
      </c>
      <c r="B211" t="inlineStr">
        <is>
          <t>E8</t>
        </is>
      </c>
      <c r="C211" t="inlineStr">
        <is>
          <t>Улучшение взаимодействия с ДУП</t>
        </is>
      </c>
      <c r="D211">
        <f>IF('Сырые ответы'!AS9="","",'Сырые ответы'!AS9)</f>
        <v/>
      </c>
    </row>
    <row r="212">
      <c r="A212">
        <f>'Сырые ответы'!B10</f>
        <v/>
      </c>
      <c r="B212" t="inlineStr">
        <is>
          <t>E8</t>
        </is>
      </c>
      <c r="C212" t="inlineStr">
        <is>
          <t>Улучшение взаимодействия с ДУП</t>
        </is>
      </c>
      <c r="D212">
        <f>IF('Сырые ответы'!AS10="","",'Сырые ответы'!AS10)</f>
        <v/>
      </c>
    </row>
    <row r="213">
      <c r="A213">
        <f>'Сырые ответы'!B11</f>
        <v/>
      </c>
      <c r="B213" t="inlineStr">
        <is>
          <t>E8</t>
        </is>
      </c>
      <c r="C213" t="inlineStr">
        <is>
          <t>Улучшение взаимодействия с ДУП</t>
        </is>
      </c>
      <c r="D213">
        <f>IF('Сырые ответы'!AS11="","",'Сырые ответы'!AS11)</f>
        <v/>
      </c>
    </row>
    <row r="214">
      <c r="A214">
        <f>'Сырые ответы'!B12</f>
        <v/>
      </c>
      <c r="B214" t="inlineStr">
        <is>
          <t>E8</t>
        </is>
      </c>
      <c r="C214" t="inlineStr">
        <is>
          <t>Улучшение взаимодействия с ДУП</t>
        </is>
      </c>
      <c r="D214">
        <f>IF('Сырые ответы'!AS12="","",'Сырые ответы'!AS12)</f>
        <v/>
      </c>
    </row>
    <row r="215">
      <c r="A215">
        <f>'Сырые ответы'!B13</f>
        <v/>
      </c>
      <c r="B215" t="inlineStr">
        <is>
          <t>E8</t>
        </is>
      </c>
      <c r="C215" t="inlineStr">
        <is>
          <t>Улучшение взаимодействия с ДУП</t>
        </is>
      </c>
      <c r="D215">
        <f>IF('Сырые ответы'!AS13="","",'Сырые ответы'!AS13)</f>
        <v/>
      </c>
    </row>
    <row r="216">
      <c r="A216">
        <f>'Сырые ответы'!B14</f>
        <v/>
      </c>
      <c r="B216" t="inlineStr">
        <is>
          <t>E8</t>
        </is>
      </c>
      <c r="C216" t="inlineStr">
        <is>
          <t>Улучшение взаимодействия с ДУП</t>
        </is>
      </c>
      <c r="D216">
        <f>IF('Сырые ответы'!AS14="","",'Сырые ответы'!AS14)</f>
        <v/>
      </c>
    </row>
    <row r="217">
      <c r="A217">
        <f>'Сырые ответы'!B15</f>
        <v/>
      </c>
      <c r="B217" t="inlineStr">
        <is>
          <t>E8</t>
        </is>
      </c>
      <c r="C217" t="inlineStr">
        <is>
          <t>Улучшение взаимодействия с ДУП</t>
        </is>
      </c>
      <c r="D217">
        <f>IF('Сырые ответы'!AS15="","",'Сырые ответы'!AS15)</f>
        <v/>
      </c>
    </row>
    <row r="218">
      <c r="A218">
        <f>'Сырые ответы'!B16</f>
        <v/>
      </c>
      <c r="B218" t="inlineStr">
        <is>
          <t>E8</t>
        </is>
      </c>
      <c r="C218" t="inlineStr">
        <is>
          <t>Улучшение взаимодействия с ДУП</t>
        </is>
      </c>
      <c r="D218">
        <f>IF('Сырые ответы'!AS16="","",'Сырые ответы'!AS16)</f>
        <v/>
      </c>
    </row>
    <row r="219">
      <c r="A219">
        <f>'Сырые ответы'!B17</f>
        <v/>
      </c>
      <c r="B219" t="inlineStr">
        <is>
          <t>E8</t>
        </is>
      </c>
      <c r="C219" t="inlineStr">
        <is>
          <t>Улучшение взаимодействия с ДУП</t>
        </is>
      </c>
      <c r="D219">
        <f>IF('Сырые ответы'!AS17="","",'Сырые ответы'!AS17)</f>
        <v/>
      </c>
    </row>
    <row r="220">
      <c r="A220">
        <f>'Сырые ответы'!B18</f>
        <v/>
      </c>
      <c r="B220" t="inlineStr">
        <is>
          <t>E8</t>
        </is>
      </c>
      <c r="C220" t="inlineStr">
        <is>
          <t>Улучшение взаимодействия с ДУП</t>
        </is>
      </c>
      <c r="D220">
        <f>IF('Сырые ответы'!AS18="","",'Сырые ответы'!AS18)</f>
        <v/>
      </c>
    </row>
    <row r="221">
      <c r="A221">
        <f>'Сырые ответы'!B19</f>
        <v/>
      </c>
      <c r="B221" t="inlineStr">
        <is>
          <t>E8</t>
        </is>
      </c>
      <c r="C221" t="inlineStr">
        <is>
          <t>Улучшение взаимодействия с ДУП</t>
        </is>
      </c>
      <c r="D221">
        <f>IF('Сырые ответы'!AS19="","",'Сырые ответы'!AS19)</f>
        <v/>
      </c>
    </row>
    <row r="222">
      <c r="A222">
        <f>'Сырые ответы'!B20</f>
        <v/>
      </c>
      <c r="B222" t="inlineStr">
        <is>
          <t>E8</t>
        </is>
      </c>
      <c r="C222" t="inlineStr">
        <is>
          <t>Улучшение взаимодействия с ДУП</t>
        </is>
      </c>
      <c r="D222">
        <f>IF('Сырые ответы'!AS20="","",'Сырые ответы'!AS20)</f>
        <v/>
      </c>
    </row>
    <row r="223">
      <c r="A223">
        <f>'Сырые ответы'!B21</f>
        <v/>
      </c>
      <c r="B223" t="inlineStr">
        <is>
          <t>E8</t>
        </is>
      </c>
      <c r="C223" t="inlineStr">
        <is>
          <t>Улучшение взаимодействия с ДУП</t>
        </is>
      </c>
      <c r="D223">
        <f>IF('Сырые ответы'!AS21="","",'Сырые ответы'!AS21)</f>
        <v/>
      </c>
    </row>
    <row r="224">
      <c r="A224">
        <f>'Сырые ответы'!B22</f>
        <v/>
      </c>
      <c r="B224" t="inlineStr">
        <is>
          <t>E8</t>
        </is>
      </c>
      <c r="C224" t="inlineStr">
        <is>
          <t>Улучшение взаимодействия с ДУП</t>
        </is>
      </c>
      <c r="D224">
        <f>IF('Сырые ответы'!AS22="","",'Сырые ответы'!AS22)</f>
        <v/>
      </c>
    </row>
    <row r="225">
      <c r="A225">
        <f>'Сырые ответы'!B23</f>
        <v/>
      </c>
      <c r="B225" t="inlineStr">
        <is>
          <t>E8</t>
        </is>
      </c>
      <c r="C225" t="inlineStr">
        <is>
          <t>Улучшение взаимодействия с ДУП</t>
        </is>
      </c>
      <c r="D225">
        <f>IF('Сырые ответы'!AS23="","",'Сырые ответы'!AS23)</f>
        <v/>
      </c>
    </row>
    <row r="226">
      <c r="A226">
        <f>'Сырые ответы'!B24</f>
        <v/>
      </c>
      <c r="B226" t="inlineStr">
        <is>
          <t>E8</t>
        </is>
      </c>
      <c r="C226" t="inlineStr">
        <is>
          <t>Улучшение взаимодействия с ДУП</t>
        </is>
      </c>
      <c r="D226">
        <f>IF('Сырые ответы'!AS24="","",'Сырые ответы'!AS24)</f>
        <v/>
      </c>
    </row>
    <row r="227">
      <c r="A227">
        <f>'Сырые ответы'!B25</f>
        <v/>
      </c>
      <c r="B227" t="inlineStr">
        <is>
          <t>E8</t>
        </is>
      </c>
      <c r="C227" t="inlineStr">
        <is>
          <t>Улучшение взаимодействия с ДУП</t>
        </is>
      </c>
      <c r="D227">
        <f>IF('Сырые ответы'!AS25="","",'Сырые ответы'!AS25)</f>
        <v/>
      </c>
    </row>
    <row r="228">
      <c r="A228">
        <f>'Сырые ответы'!B26</f>
        <v/>
      </c>
      <c r="B228" t="inlineStr">
        <is>
          <t>E8</t>
        </is>
      </c>
      <c r="C228" t="inlineStr">
        <is>
          <t>Улучшение взаимодействия с ДУП</t>
        </is>
      </c>
      <c r="D228">
        <f>IF('Сырые ответы'!AS26="","",'Сырые ответы'!AS26)</f>
        <v/>
      </c>
    </row>
    <row r="229">
      <c r="A229">
        <f>'Сырые ответы'!B27</f>
        <v/>
      </c>
      <c r="B229" t="inlineStr">
        <is>
          <t>E8</t>
        </is>
      </c>
      <c r="C229" t="inlineStr">
        <is>
          <t>Улучшение взаимодействия с ДУП</t>
        </is>
      </c>
      <c r="D229">
        <f>IF('Сырые ответы'!AS27="","",'Сырые ответы'!AS27)</f>
        <v/>
      </c>
    </row>
    <row r="230">
      <c r="A230">
        <f>'Сырые ответы'!B28</f>
        <v/>
      </c>
      <c r="B230" t="inlineStr">
        <is>
          <t>E8</t>
        </is>
      </c>
      <c r="C230" t="inlineStr">
        <is>
          <t>Улучшение взаимодействия с ДУП</t>
        </is>
      </c>
      <c r="D230">
        <f>IF('Сырые ответы'!AS28="","",'Сырые ответы'!AS28)</f>
        <v/>
      </c>
    </row>
    <row r="231">
      <c r="A231">
        <f>'Сырые ответы'!B29</f>
        <v/>
      </c>
      <c r="B231" t="inlineStr">
        <is>
          <t>E8</t>
        </is>
      </c>
      <c r="C231" t="inlineStr">
        <is>
          <t>Улучшение взаимодействия с ДУП</t>
        </is>
      </c>
      <c r="D231">
        <f>IF('Сырые ответы'!AS29="","",'Сырые ответы'!AS29)</f>
        <v/>
      </c>
    </row>
    <row r="232">
      <c r="A232">
        <f>'Сырые ответы'!B30</f>
        <v/>
      </c>
      <c r="B232" t="inlineStr">
        <is>
          <t>E8</t>
        </is>
      </c>
      <c r="C232" t="inlineStr">
        <is>
          <t>Улучшение взаимодействия с ДУП</t>
        </is>
      </c>
      <c r="D232">
        <f>IF('Сырые ответы'!AS30="","",'Сырые ответы'!AS30)</f>
        <v/>
      </c>
    </row>
    <row r="233">
      <c r="A233">
        <f>'Сырые ответы'!B31</f>
        <v/>
      </c>
      <c r="B233" t="inlineStr">
        <is>
          <t>E8</t>
        </is>
      </c>
      <c r="C233" t="inlineStr">
        <is>
          <t>Улучшение взаимодействия с ДУП</t>
        </is>
      </c>
      <c r="D233">
        <f>IF('Сырые ответы'!AS31="","",'Сырые ответы'!AS31)</f>
        <v/>
      </c>
    </row>
    <row r="234">
      <c r="A234">
        <f>'Сырые ответы'!B32</f>
        <v/>
      </c>
      <c r="B234" t="inlineStr">
        <is>
          <t>E8</t>
        </is>
      </c>
      <c r="C234" t="inlineStr">
        <is>
          <t>Улучшение взаимодействия с ДУП</t>
        </is>
      </c>
      <c r="D234">
        <f>IF('Сырые ответы'!AS32="","",'Сырые ответы'!AS32)</f>
        <v/>
      </c>
    </row>
    <row r="235">
      <c r="A235">
        <f>'Сырые ответы'!B33</f>
        <v/>
      </c>
      <c r="B235" t="inlineStr">
        <is>
          <t>E8</t>
        </is>
      </c>
      <c r="C235" t="inlineStr">
        <is>
          <t>Улучшение взаимодействия с ДУП</t>
        </is>
      </c>
      <c r="D235">
        <f>IF('Сырые ответы'!AS33="","",'Сырые ответы'!AS33)</f>
        <v/>
      </c>
    </row>
    <row r="236">
      <c r="A236">
        <f>'Сырые ответы'!B34</f>
        <v/>
      </c>
      <c r="B236" t="inlineStr">
        <is>
          <t>E8</t>
        </is>
      </c>
      <c r="C236" t="inlineStr">
        <is>
          <t>Улучшение взаимодействия с ДУП</t>
        </is>
      </c>
      <c r="D236">
        <f>IF('Сырые ответы'!AS34="","",'Сырые ответы'!AS34)</f>
        <v/>
      </c>
    </row>
    <row r="237">
      <c r="A237">
        <f>'Сырые ответы'!B35</f>
        <v/>
      </c>
      <c r="B237" t="inlineStr">
        <is>
          <t>E8</t>
        </is>
      </c>
      <c r="C237" t="inlineStr">
        <is>
          <t>Улучшение взаимодействия с ДУП</t>
        </is>
      </c>
      <c r="D237">
        <f>IF('Сырые ответы'!AS35="","",'Сырые ответы'!AS35)</f>
        <v/>
      </c>
    </row>
    <row r="238">
      <c r="A238">
        <f>'Сырые ответы'!B36</f>
        <v/>
      </c>
      <c r="B238" t="inlineStr">
        <is>
          <t>E8</t>
        </is>
      </c>
      <c r="C238" t="inlineStr">
        <is>
          <t>Улучшение взаимодействия с ДУП</t>
        </is>
      </c>
      <c r="D238">
        <f>IF('Сырые ответы'!AS36="","",'Сырые ответы'!AS36)</f>
        <v/>
      </c>
    </row>
    <row r="239">
      <c r="A239">
        <f>'Сырые ответы'!B37</f>
        <v/>
      </c>
      <c r="B239" t="inlineStr">
        <is>
          <t>E8</t>
        </is>
      </c>
      <c r="C239" t="inlineStr">
        <is>
          <t>Улучшение взаимодействия с ДУП</t>
        </is>
      </c>
      <c r="D239">
        <f>IF('Сырые ответы'!AS37="","",'Сырые ответы'!AS37)</f>
        <v/>
      </c>
    </row>
    <row r="240">
      <c r="A240">
        <f>'Сырые ответы'!B38</f>
        <v/>
      </c>
      <c r="B240" t="inlineStr">
        <is>
          <t>E8</t>
        </is>
      </c>
      <c r="C240" t="inlineStr">
        <is>
          <t>Улучшение взаимодействия с ДУП</t>
        </is>
      </c>
      <c r="D240">
        <f>IF('Сырые ответы'!AS38="","",'Сырые ответы'!AS38)</f>
        <v/>
      </c>
    </row>
    <row r="241">
      <c r="A241">
        <f>'Сырые ответы'!B39</f>
        <v/>
      </c>
      <c r="B241" t="inlineStr">
        <is>
          <t>E8</t>
        </is>
      </c>
      <c r="C241" t="inlineStr">
        <is>
          <t>Улучшение взаимодействия с ДУП</t>
        </is>
      </c>
      <c r="D241">
        <f>IF('Сырые ответы'!AS39="","",'Сырые ответы'!AS39)</f>
        <v/>
      </c>
    </row>
    <row r="242">
      <c r="A242">
        <f>'Сырые ответы'!B40</f>
        <v/>
      </c>
      <c r="B242" t="inlineStr">
        <is>
          <t>E8</t>
        </is>
      </c>
      <c r="C242" t="inlineStr">
        <is>
          <t>Улучшение взаимодействия с ДУП</t>
        </is>
      </c>
      <c r="D242">
        <f>IF('Сырые ответы'!AS40="","",'Сырые ответы'!AS40)</f>
        <v/>
      </c>
    </row>
    <row r="243">
      <c r="A243">
        <f>'Сырые ответы'!B41</f>
        <v/>
      </c>
      <c r="B243" t="inlineStr">
        <is>
          <t>E8</t>
        </is>
      </c>
      <c r="C243" t="inlineStr">
        <is>
          <t>Улучшение взаимодействия с ДУП</t>
        </is>
      </c>
      <c r="D243">
        <f>IF('Сырые ответы'!AS41="","",'Сырые ответы'!AS41)</f>
        <v/>
      </c>
    </row>
    <row r="244">
      <c r="A244">
        <f>'Сырые ответы'!B42</f>
        <v/>
      </c>
      <c r="B244" t="inlineStr">
        <is>
          <t>E8</t>
        </is>
      </c>
      <c r="C244" t="inlineStr">
        <is>
          <t>Улучшение взаимодействия с ДУП</t>
        </is>
      </c>
      <c r="D244">
        <f>IF('Сырые ответы'!AS42="","",'Сырые ответы'!AS42)</f>
        <v/>
      </c>
    </row>
    <row r="245">
      <c r="A245">
        <f>'Сырые ответы'!B43</f>
        <v/>
      </c>
      <c r="B245" t="inlineStr">
        <is>
          <t>E8</t>
        </is>
      </c>
      <c r="C245" t="inlineStr">
        <is>
          <t>Улучшение взаимодействия с ДУП</t>
        </is>
      </c>
      <c r="D245">
        <f>IF('Сырые ответы'!AS43="","",'Сырые ответы'!AS43)</f>
        <v/>
      </c>
    </row>
    <row r="246">
      <c r="A246">
        <f>'Сырые ответы'!B44</f>
        <v/>
      </c>
      <c r="B246" t="inlineStr">
        <is>
          <t>E8</t>
        </is>
      </c>
      <c r="C246" t="inlineStr">
        <is>
          <t>Улучшение взаимодействия с ДУП</t>
        </is>
      </c>
      <c r="D246">
        <f>IF('Сырые ответы'!AS44="","",'Сырые ответы'!AS44)</f>
        <v/>
      </c>
    </row>
    <row r="247">
      <c r="A247">
        <f>'Сырые ответы'!B45</f>
        <v/>
      </c>
      <c r="B247" t="inlineStr">
        <is>
          <t>E8</t>
        </is>
      </c>
      <c r="C247" t="inlineStr">
        <is>
          <t>Улучшение взаимодействия с ДУП</t>
        </is>
      </c>
      <c r="D247">
        <f>IF('Сырые ответы'!AS45="","",'Сырые ответы'!AS45)</f>
        <v/>
      </c>
    </row>
    <row r="248">
      <c r="A248">
        <f>'Сырые ответы'!B46</f>
        <v/>
      </c>
      <c r="B248" t="inlineStr">
        <is>
          <t>E8</t>
        </is>
      </c>
      <c r="C248" t="inlineStr">
        <is>
          <t>Улучшение взаимодействия с ДУП</t>
        </is>
      </c>
      <c r="D248">
        <f>IF('Сырые ответы'!AS46="","",'Сырые ответы'!AS46)</f>
        <v/>
      </c>
    </row>
    <row r="249">
      <c r="A249">
        <f>'Сырые ответы'!B47</f>
        <v/>
      </c>
      <c r="B249" t="inlineStr">
        <is>
          <t>E8</t>
        </is>
      </c>
      <c r="C249" t="inlineStr">
        <is>
          <t>Улучшение взаимодействия с ДУП</t>
        </is>
      </c>
      <c r="D249">
        <f>IF('Сырые ответы'!AS47="","",'Сырые ответы'!AS47)</f>
        <v/>
      </c>
    </row>
    <row r="250">
      <c r="A250">
        <f>'Сырые ответы'!B48</f>
        <v/>
      </c>
      <c r="B250" t="inlineStr">
        <is>
          <t>E8</t>
        </is>
      </c>
      <c r="C250" t="inlineStr">
        <is>
          <t>Улучшение взаимодействия с ДУП</t>
        </is>
      </c>
      <c r="D250">
        <f>IF('Сырые ответы'!AS48="","",'Сырые ответы'!AS48)</f>
        <v/>
      </c>
    </row>
    <row r="251">
      <c r="A251">
        <f>'Сырые ответы'!B49</f>
        <v/>
      </c>
      <c r="B251" t="inlineStr">
        <is>
          <t>E8</t>
        </is>
      </c>
      <c r="C251" t="inlineStr">
        <is>
          <t>Улучшение взаимодействия с ДУП</t>
        </is>
      </c>
      <c r="D251">
        <f>IF('Сырые ответы'!AS49="","",'Сырые ответы'!AS49)</f>
        <v/>
      </c>
    </row>
    <row r="252">
      <c r="A252">
        <f>'Сырые ответы'!B50</f>
        <v/>
      </c>
      <c r="B252" t="inlineStr">
        <is>
          <t>E8</t>
        </is>
      </c>
      <c r="C252" t="inlineStr">
        <is>
          <t>Улучшение взаимодействия с ДУП</t>
        </is>
      </c>
      <c r="D252">
        <f>IF('Сырые ответы'!AS50="","",'Сырые ответы'!AS50)</f>
        <v/>
      </c>
    </row>
    <row r="253">
      <c r="A253">
        <f>'Сырые ответы'!B51</f>
        <v/>
      </c>
      <c r="B253" t="inlineStr">
        <is>
          <t>E8</t>
        </is>
      </c>
      <c r="C253" t="inlineStr">
        <is>
          <t>Улучшение взаимодействия с ДУП</t>
        </is>
      </c>
      <c r="D253">
        <f>IF('Сырые ответы'!AS51="","",'Сырые ответы'!AS51)</f>
        <v/>
      </c>
    </row>
    <row r="254">
      <c r="A254">
        <f>'Сырые ответы'!B2</f>
        <v/>
      </c>
      <c r="B254" t="inlineStr">
        <is>
          <t>F5</t>
        </is>
      </c>
      <c r="C254" t="inlineStr">
        <is>
          <t>Проблемы с ЦО</t>
        </is>
      </c>
      <c r="D254">
        <f>IF('Сырые ответы'!BE2="","",'Сырые ответы'!BE2)</f>
        <v/>
      </c>
    </row>
    <row r="255">
      <c r="A255">
        <f>'Сырые ответы'!B3</f>
        <v/>
      </c>
      <c r="B255" t="inlineStr">
        <is>
          <t>F5</t>
        </is>
      </c>
      <c r="C255" t="inlineStr">
        <is>
          <t>Проблемы с ЦО</t>
        </is>
      </c>
      <c r="D255">
        <f>IF('Сырые ответы'!BE3="","",'Сырые ответы'!BE3)</f>
        <v/>
      </c>
    </row>
    <row r="256">
      <c r="A256">
        <f>'Сырые ответы'!B4</f>
        <v/>
      </c>
      <c r="B256" t="inlineStr">
        <is>
          <t>F5</t>
        </is>
      </c>
      <c r="C256" t="inlineStr">
        <is>
          <t>Проблемы с ЦО</t>
        </is>
      </c>
      <c r="D256">
        <f>IF('Сырые ответы'!BE4="","",'Сырые ответы'!BE4)</f>
        <v/>
      </c>
    </row>
    <row r="257">
      <c r="A257">
        <f>'Сырые ответы'!B5</f>
        <v/>
      </c>
      <c r="B257" t="inlineStr">
        <is>
          <t>F5</t>
        </is>
      </c>
      <c r="C257" t="inlineStr">
        <is>
          <t>Проблемы с ЦО</t>
        </is>
      </c>
      <c r="D257">
        <f>IF('Сырые ответы'!BE5="","",'Сырые ответы'!BE5)</f>
        <v/>
      </c>
    </row>
    <row r="258">
      <c r="A258">
        <f>'Сырые ответы'!B6</f>
        <v/>
      </c>
      <c r="B258" t="inlineStr">
        <is>
          <t>F5</t>
        </is>
      </c>
      <c r="C258" t="inlineStr">
        <is>
          <t>Проблемы с ЦО</t>
        </is>
      </c>
      <c r="D258">
        <f>IF('Сырые ответы'!BE6="","",'Сырые ответы'!BE6)</f>
        <v/>
      </c>
    </row>
    <row r="259">
      <c r="A259">
        <f>'Сырые ответы'!B7</f>
        <v/>
      </c>
      <c r="B259" t="inlineStr">
        <is>
          <t>F5</t>
        </is>
      </c>
      <c r="C259" t="inlineStr">
        <is>
          <t>Проблемы с ЦО</t>
        </is>
      </c>
      <c r="D259">
        <f>IF('Сырые ответы'!BE7="","",'Сырые ответы'!BE7)</f>
        <v/>
      </c>
    </row>
    <row r="260">
      <c r="A260">
        <f>'Сырые ответы'!B8</f>
        <v/>
      </c>
      <c r="B260" t="inlineStr">
        <is>
          <t>F5</t>
        </is>
      </c>
      <c r="C260" t="inlineStr">
        <is>
          <t>Проблемы с ЦО</t>
        </is>
      </c>
      <c r="D260">
        <f>IF('Сырые ответы'!BE8="","",'Сырые ответы'!BE8)</f>
        <v/>
      </c>
    </row>
    <row r="261">
      <c r="A261">
        <f>'Сырые ответы'!B9</f>
        <v/>
      </c>
      <c r="B261" t="inlineStr">
        <is>
          <t>F5</t>
        </is>
      </c>
      <c r="C261" t="inlineStr">
        <is>
          <t>Проблемы с ЦО</t>
        </is>
      </c>
      <c r="D261">
        <f>IF('Сырые ответы'!BE9="","",'Сырые ответы'!BE9)</f>
        <v/>
      </c>
    </row>
    <row r="262">
      <c r="A262">
        <f>'Сырые ответы'!B10</f>
        <v/>
      </c>
      <c r="B262" t="inlineStr">
        <is>
          <t>F5</t>
        </is>
      </c>
      <c r="C262" t="inlineStr">
        <is>
          <t>Проблемы с ЦО</t>
        </is>
      </c>
      <c r="D262">
        <f>IF('Сырые ответы'!BE10="","",'Сырые ответы'!BE10)</f>
        <v/>
      </c>
    </row>
    <row r="263">
      <c r="A263">
        <f>'Сырые ответы'!B11</f>
        <v/>
      </c>
      <c r="B263" t="inlineStr">
        <is>
          <t>F5</t>
        </is>
      </c>
      <c r="C263" t="inlineStr">
        <is>
          <t>Проблемы с ЦО</t>
        </is>
      </c>
      <c r="D263">
        <f>IF('Сырые ответы'!BE11="","",'Сырые ответы'!BE11)</f>
        <v/>
      </c>
    </row>
    <row r="264">
      <c r="A264">
        <f>'Сырые ответы'!B12</f>
        <v/>
      </c>
      <c r="B264" t="inlineStr">
        <is>
          <t>F5</t>
        </is>
      </c>
      <c r="C264" t="inlineStr">
        <is>
          <t>Проблемы с ЦО</t>
        </is>
      </c>
      <c r="D264">
        <f>IF('Сырые ответы'!BE12="","",'Сырые ответы'!BE12)</f>
        <v/>
      </c>
    </row>
    <row r="265">
      <c r="A265">
        <f>'Сырые ответы'!B13</f>
        <v/>
      </c>
      <c r="B265" t="inlineStr">
        <is>
          <t>F5</t>
        </is>
      </c>
      <c r="C265" t="inlineStr">
        <is>
          <t>Проблемы с ЦО</t>
        </is>
      </c>
      <c r="D265">
        <f>IF('Сырые ответы'!BE13="","",'Сырые ответы'!BE13)</f>
        <v/>
      </c>
    </row>
    <row r="266">
      <c r="A266">
        <f>'Сырые ответы'!B14</f>
        <v/>
      </c>
      <c r="B266" t="inlineStr">
        <is>
          <t>F5</t>
        </is>
      </c>
      <c r="C266" t="inlineStr">
        <is>
          <t>Проблемы с ЦО</t>
        </is>
      </c>
      <c r="D266">
        <f>IF('Сырые ответы'!BE14="","",'Сырые ответы'!BE14)</f>
        <v/>
      </c>
    </row>
    <row r="267">
      <c r="A267">
        <f>'Сырые ответы'!B15</f>
        <v/>
      </c>
      <c r="B267" t="inlineStr">
        <is>
          <t>F5</t>
        </is>
      </c>
      <c r="C267" t="inlineStr">
        <is>
          <t>Проблемы с ЦО</t>
        </is>
      </c>
      <c r="D267">
        <f>IF('Сырые ответы'!BE15="","",'Сырые ответы'!BE15)</f>
        <v/>
      </c>
    </row>
    <row r="268">
      <c r="A268">
        <f>'Сырые ответы'!B16</f>
        <v/>
      </c>
      <c r="B268" t="inlineStr">
        <is>
          <t>F5</t>
        </is>
      </c>
      <c r="C268" t="inlineStr">
        <is>
          <t>Проблемы с ЦО</t>
        </is>
      </c>
      <c r="D268">
        <f>IF('Сырые ответы'!BE16="","",'Сырые ответы'!BE16)</f>
        <v/>
      </c>
    </row>
    <row r="269">
      <c r="A269">
        <f>'Сырые ответы'!B17</f>
        <v/>
      </c>
      <c r="B269" t="inlineStr">
        <is>
          <t>F5</t>
        </is>
      </c>
      <c r="C269" t="inlineStr">
        <is>
          <t>Проблемы с ЦО</t>
        </is>
      </c>
      <c r="D269">
        <f>IF('Сырые ответы'!BE17="","",'Сырые ответы'!BE17)</f>
        <v/>
      </c>
    </row>
    <row r="270">
      <c r="A270">
        <f>'Сырые ответы'!B18</f>
        <v/>
      </c>
      <c r="B270" t="inlineStr">
        <is>
          <t>F5</t>
        </is>
      </c>
      <c r="C270" t="inlineStr">
        <is>
          <t>Проблемы с ЦО</t>
        </is>
      </c>
      <c r="D270">
        <f>IF('Сырые ответы'!BE18="","",'Сырые ответы'!BE18)</f>
        <v/>
      </c>
    </row>
    <row r="271">
      <c r="A271">
        <f>'Сырые ответы'!B19</f>
        <v/>
      </c>
      <c r="B271" t="inlineStr">
        <is>
          <t>F5</t>
        </is>
      </c>
      <c r="C271" t="inlineStr">
        <is>
          <t>Проблемы с ЦО</t>
        </is>
      </c>
      <c r="D271">
        <f>IF('Сырые ответы'!BE19="","",'Сырые ответы'!BE19)</f>
        <v/>
      </c>
    </row>
    <row r="272">
      <c r="A272">
        <f>'Сырые ответы'!B20</f>
        <v/>
      </c>
      <c r="B272" t="inlineStr">
        <is>
          <t>F5</t>
        </is>
      </c>
      <c r="C272" t="inlineStr">
        <is>
          <t>Проблемы с ЦО</t>
        </is>
      </c>
      <c r="D272">
        <f>IF('Сырые ответы'!BE20="","",'Сырые ответы'!BE20)</f>
        <v/>
      </c>
    </row>
    <row r="273">
      <c r="A273">
        <f>'Сырые ответы'!B21</f>
        <v/>
      </c>
      <c r="B273" t="inlineStr">
        <is>
          <t>F5</t>
        </is>
      </c>
      <c r="C273" t="inlineStr">
        <is>
          <t>Проблемы с ЦО</t>
        </is>
      </c>
      <c r="D273">
        <f>IF('Сырые ответы'!BE21="","",'Сырые ответы'!BE21)</f>
        <v/>
      </c>
    </row>
    <row r="274">
      <c r="A274">
        <f>'Сырые ответы'!B22</f>
        <v/>
      </c>
      <c r="B274" t="inlineStr">
        <is>
          <t>F5</t>
        </is>
      </c>
      <c r="C274" t="inlineStr">
        <is>
          <t>Проблемы с ЦО</t>
        </is>
      </c>
      <c r="D274">
        <f>IF('Сырые ответы'!BE22="","",'Сырые ответы'!BE22)</f>
        <v/>
      </c>
    </row>
    <row r="275">
      <c r="A275">
        <f>'Сырые ответы'!B23</f>
        <v/>
      </c>
      <c r="B275" t="inlineStr">
        <is>
          <t>F5</t>
        </is>
      </c>
      <c r="C275" t="inlineStr">
        <is>
          <t>Проблемы с ЦО</t>
        </is>
      </c>
      <c r="D275">
        <f>IF('Сырые ответы'!BE23="","",'Сырые ответы'!BE23)</f>
        <v/>
      </c>
    </row>
    <row r="276">
      <c r="A276">
        <f>'Сырые ответы'!B24</f>
        <v/>
      </c>
      <c r="B276" t="inlineStr">
        <is>
          <t>F5</t>
        </is>
      </c>
      <c r="C276" t="inlineStr">
        <is>
          <t>Проблемы с ЦО</t>
        </is>
      </c>
      <c r="D276">
        <f>IF('Сырые ответы'!BE24="","",'Сырые ответы'!BE24)</f>
        <v/>
      </c>
    </row>
    <row r="277">
      <c r="A277">
        <f>'Сырые ответы'!B25</f>
        <v/>
      </c>
      <c r="B277" t="inlineStr">
        <is>
          <t>F5</t>
        </is>
      </c>
      <c r="C277" t="inlineStr">
        <is>
          <t>Проблемы с ЦО</t>
        </is>
      </c>
      <c r="D277">
        <f>IF('Сырые ответы'!BE25="","",'Сырые ответы'!BE25)</f>
        <v/>
      </c>
    </row>
    <row r="278">
      <c r="A278">
        <f>'Сырые ответы'!B26</f>
        <v/>
      </c>
      <c r="B278" t="inlineStr">
        <is>
          <t>F5</t>
        </is>
      </c>
      <c r="C278" t="inlineStr">
        <is>
          <t>Проблемы с ЦО</t>
        </is>
      </c>
      <c r="D278">
        <f>IF('Сырые ответы'!BE26="","",'Сырые ответы'!BE26)</f>
        <v/>
      </c>
    </row>
    <row r="279">
      <c r="A279">
        <f>'Сырые ответы'!B27</f>
        <v/>
      </c>
      <c r="B279" t="inlineStr">
        <is>
          <t>F5</t>
        </is>
      </c>
      <c r="C279" t="inlineStr">
        <is>
          <t>Проблемы с ЦО</t>
        </is>
      </c>
      <c r="D279">
        <f>IF('Сырые ответы'!BE27="","",'Сырые ответы'!BE27)</f>
        <v/>
      </c>
    </row>
    <row r="280">
      <c r="A280">
        <f>'Сырые ответы'!B28</f>
        <v/>
      </c>
      <c r="B280" t="inlineStr">
        <is>
          <t>F5</t>
        </is>
      </c>
      <c r="C280" t="inlineStr">
        <is>
          <t>Проблемы с ЦО</t>
        </is>
      </c>
      <c r="D280">
        <f>IF('Сырые ответы'!BE28="","",'Сырые ответы'!BE28)</f>
        <v/>
      </c>
    </row>
    <row r="281">
      <c r="A281">
        <f>'Сырые ответы'!B29</f>
        <v/>
      </c>
      <c r="B281" t="inlineStr">
        <is>
          <t>F5</t>
        </is>
      </c>
      <c r="C281" t="inlineStr">
        <is>
          <t>Проблемы с ЦО</t>
        </is>
      </c>
      <c r="D281">
        <f>IF('Сырые ответы'!BE29="","",'Сырые ответы'!BE29)</f>
        <v/>
      </c>
    </row>
    <row r="282">
      <c r="A282">
        <f>'Сырые ответы'!B30</f>
        <v/>
      </c>
      <c r="B282" t="inlineStr">
        <is>
          <t>F5</t>
        </is>
      </c>
      <c r="C282" t="inlineStr">
        <is>
          <t>Проблемы с ЦО</t>
        </is>
      </c>
      <c r="D282">
        <f>IF('Сырые ответы'!BE30="","",'Сырые ответы'!BE30)</f>
        <v/>
      </c>
    </row>
    <row r="283">
      <c r="A283">
        <f>'Сырые ответы'!B31</f>
        <v/>
      </c>
      <c r="B283" t="inlineStr">
        <is>
          <t>F5</t>
        </is>
      </c>
      <c r="C283" t="inlineStr">
        <is>
          <t>Проблемы с ЦО</t>
        </is>
      </c>
      <c r="D283">
        <f>IF('Сырые ответы'!BE31="","",'Сырые ответы'!BE31)</f>
        <v/>
      </c>
    </row>
    <row r="284">
      <c r="A284">
        <f>'Сырые ответы'!B32</f>
        <v/>
      </c>
      <c r="B284" t="inlineStr">
        <is>
          <t>F5</t>
        </is>
      </c>
      <c r="C284" t="inlineStr">
        <is>
          <t>Проблемы с ЦО</t>
        </is>
      </c>
      <c r="D284">
        <f>IF('Сырые ответы'!BE32="","",'Сырые ответы'!BE32)</f>
        <v/>
      </c>
    </row>
    <row r="285">
      <c r="A285">
        <f>'Сырые ответы'!B33</f>
        <v/>
      </c>
      <c r="B285" t="inlineStr">
        <is>
          <t>F5</t>
        </is>
      </c>
      <c r="C285" t="inlineStr">
        <is>
          <t>Проблемы с ЦО</t>
        </is>
      </c>
      <c r="D285">
        <f>IF('Сырые ответы'!BE33="","",'Сырые ответы'!BE33)</f>
        <v/>
      </c>
    </row>
    <row r="286">
      <c r="A286">
        <f>'Сырые ответы'!B34</f>
        <v/>
      </c>
      <c r="B286" t="inlineStr">
        <is>
          <t>F5</t>
        </is>
      </c>
      <c r="C286" t="inlineStr">
        <is>
          <t>Проблемы с ЦО</t>
        </is>
      </c>
      <c r="D286">
        <f>IF('Сырые ответы'!BE34="","",'Сырые ответы'!BE34)</f>
        <v/>
      </c>
    </row>
    <row r="287">
      <c r="A287">
        <f>'Сырые ответы'!B35</f>
        <v/>
      </c>
      <c r="B287" t="inlineStr">
        <is>
          <t>F5</t>
        </is>
      </c>
      <c r="C287" t="inlineStr">
        <is>
          <t>Проблемы с ЦО</t>
        </is>
      </c>
      <c r="D287">
        <f>IF('Сырые ответы'!BE35="","",'Сырые ответы'!BE35)</f>
        <v/>
      </c>
    </row>
    <row r="288">
      <c r="A288">
        <f>'Сырые ответы'!B36</f>
        <v/>
      </c>
      <c r="B288" t="inlineStr">
        <is>
          <t>F5</t>
        </is>
      </c>
      <c r="C288" t="inlineStr">
        <is>
          <t>Проблемы с ЦО</t>
        </is>
      </c>
      <c r="D288">
        <f>IF('Сырые ответы'!BE36="","",'Сырые ответы'!BE36)</f>
        <v/>
      </c>
    </row>
    <row r="289">
      <c r="A289">
        <f>'Сырые ответы'!B37</f>
        <v/>
      </c>
      <c r="B289" t="inlineStr">
        <is>
          <t>F5</t>
        </is>
      </c>
      <c r="C289" t="inlineStr">
        <is>
          <t>Проблемы с ЦО</t>
        </is>
      </c>
      <c r="D289">
        <f>IF('Сырые ответы'!BE37="","",'Сырые ответы'!BE37)</f>
        <v/>
      </c>
    </row>
    <row r="290">
      <c r="A290">
        <f>'Сырые ответы'!B38</f>
        <v/>
      </c>
      <c r="B290" t="inlineStr">
        <is>
          <t>F5</t>
        </is>
      </c>
      <c r="C290" t="inlineStr">
        <is>
          <t>Проблемы с ЦО</t>
        </is>
      </c>
      <c r="D290">
        <f>IF('Сырые ответы'!BE38="","",'Сырые ответы'!BE38)</f>
        <v/>
      </c>
    </row>
    <row r="291">
      <c r="A291">
        <f>'Сырые ответы'!B39</f>
        <v/>
      </c>
      <c r="B291" t="inlineStr">
        <is>
          <t>F5</t>
        </is>
      </c>
      <c r="C291" t="inlineStr">
        <is>
          <t>Проблемы с ЦО</t>
        </is>
      </c>
      <c r="D291">
        <f>IF('Сырые ответы'!BE39="","",'Сырые ответы'!BE39)</f>
        <v/>
      </c>
    </row>
    <row r="292">
      <c r="A292">
        <f>'Сырые ответы'!B40</f>
        <v/>
      </c>
      <c r="B292" t="inlineStr">
        <is>
          <t>F5</t>
        </is>
      </c>
      <c r="C292" t="inlineStr">
        <is>
          <t>Проблемы с ЦО</t>
        </is>
      </c>
      <c r="D292">
        <f>IF('Сырые ответы'!BE40="","",'Сырые ответы'!BE40)</f>
        <v/>
      </c>
    </row>
    <row r="293">
      <c r="A293">
        <f>'Сырые ответы'!B41</f>
        <v/>
      </c>
      <c r="B293" t="inlineStr">
        <is>
          <t>F5</t>
        </is>
      </c>
      <c r="C293" t="inlineStr">
        <is>
          <t>Проблемы с ЦО</t>
        </is>
      </c>
      <c r="D293">
        <f>IF('Сырые ответы'!BE41="","",'Сырые ответы'!BE41)</f>
        <v/>
      </c>
    </row>
    <row r="294">
      <c r="A294">
        <f>'Сырые ответы'!B42</f>
        <v/>
      </c>
      <c r="B294" t="inlineStr">
        <is>
          <t>F5</t>
        </is>
      </c>
      <c r="C294" t="inlineStr">
        <is>
          <t>Проблемы с ЦО</t>
        </is>
      </c>
      <c r="D294">
        <f>IF('Сырые ответы'!BE42="","",'Сырые ответы'!BE42)</f>
        <v/>
      </c>
    </row>
    <row r="295">
      <c r="A295">
        <f>'Сырые ответы'!B43</f>
        <v/>
      </c>
      <c r="B295" t="inlineStr">
        <is>
          <t>F5</t>
        </is>
      </c>
      <c r="C295" t="inlineStr">
        <is>
          <t>Проблемы с ЦО</t>
        </is>
      </c>
      <c r="D295">
        <f>IF('Сырые ответы'!BE43="","",'Сырые ответы'!BE43)</f>
        <v/>
      </c>
    </row>
    <row r="296">
      <c r="A296">
        <f>'Сырые ответы'!B44</f>
        <v/>
      </c>
      <c r="B296" t="inlineStr">
        <is>
          <t>F5</t>
        </is>
      </c>
      <c r="C296" t="inlineStr">
        <is>
          <t>Проблемы с ЦО</t>
        </is>
      </c>
      <c r="D296">
        <f>IF('Сырые ответы'!BE44="","",'Сырые ответы'!BE44)</f>
        <v/>
      </c>
    </row>
    <row r="297">
      <c r="A297">
        <f>'Сырые ответы'!B45</f>
        <v/>
      </c>
      <c r="B297" t="inlineStr">
        <is>
          <t>F5</t>
        </is>
      </c>
      <c r="C297" t="inlineStr">
        <is>
          <t>Проблемы с ЦО</t>
        </is>
      </c>
      <c r="D297">
        <f>IF('Сырые ответы'!BE45="","",'Сырые ответы'!BE45)</f>
        <v/>
      </c>
    </row>
    <row r="298">
      <c r="A298">
        <f>'Сырые ответы'!B46</f>
        <v/>
      </c>
      <c r="B298" t="inlineStr">
        <is>
          <t>F5</t>
        </is>
      </c>
      <c r="C298" t="inlineStr">
        <is>
          <t>Проблемы с ЦО</t>
        </is>
      </c>
      <c r="D298">
        <f>IF('Сырые ответы'!BE46="","",'Сырые ответы'!BE46)</f>
        <v/>
      </c>
    </row>
    <row r="299">
      <c r="A299">
        <f>'Сырые ответы'!B47</f>
        <v/>
      </c>
      <c r="B299" t="inlineStr">
        <is>
          <t>F5</t>
        </is>
      </c>
      <c r="C299" t="inlineStr">
        <is>
          <t>Проблемы с ЦО</t>
        </is>
      </c>
      <c r="D299">
        <f>IF('Сырые ответы'!BE47="","",'Сырые ответы'!BE47)</f>
        <v/>
      </c>
    </row>
    <row r="300">
      <c r="A300">
        <f>'Сырые ответы'!B48</f>
        <v/>
      </c>
      <c r="B300" t="inlineStr">
        <is>
          <t>F5</t>
        </is>
      </c>
      <c r="C300" t="inlineStr">
        <is>
          <t>Проблемы с ЦО</t>
        </is>
      </c>
      <c r="D300">
        <f>IF('Сырые ответы'!BE48="","",'Сырые ответы'!BE48)</f>
        <v/>
      </c>
    </row>
    <row r="301">
      <c r="A301">
        <f>'Сырые ответы'!B49</f>
        <v/>
      </c>
      <c r="B301" t="inlineStr">
        <is>
          <t>F5</t>
        </is>
      </c>
      <c r="C301" t="inlineStr">
        <is>
          <t>Проблемы с ЦО</t>
        </is>
      </c>
      <c r="D301">
        <f>IF('Сырые ответы'!BE49="","",'Сырые ответы'!BE49)</f>
        <v/>
      </c>
    </row>
    <row r="302">
      <c r="A302">
        <f>'Сырые ответы'!B50</f>
        <v/>
      </c>
      <c r="B302" t="inlineStr">
        <is>
          <t>F5</t>
        </is>
      </c>
      <c r="C302" t="inlineStr">
        <is>
          <t>Проблемы с ЦО</t>
        </is>
      </c>
      <c r="D302">
        <f>IF('Сырые ответы'!BE50="","",'Сырые ответы'!BE50)</f>
        <v/>
      </c>
    </row>
    <row r="303">
      <c r="A303">
        <f>'Сырые ответы'!B51</f>
        <v/>
      </c>
      <c r="B303" t="inlineStr">
        <is>
          <t>F5</t>
        </is>
      </c>
      <c r="C303" t="inlineStr">
        <is>
          <t>Проблемы с ЦО</t>
        </is>
      </c>
      <c r="D303">
        <f>IF('Сырые ответы'!BE51="","",'Сырые ответы'!BE51)</f>
        <v/>
      </c>
    </row>
    <row r="304">
      <c r="A304">
        <f>'Сырые ответы'!B2</f>
        <v/>
      </c>
      <c r="B304" t="inlineStr">
        <is>
          <t>H1</t>
        </is>
      </c>
      <c r="C304" t="inlineStr">
        <is>
          <t>ТОП-3 проблемы</t>
        </is>
      </c>
      <c r="D304">
        <f>IF('Сырые ответы'!BJ2="","",'Сырые ответы'!BJ2)</f>
        <v/>
      </c>
    </row>
    <row r="305">
      <c r="A305">
        <f>'Сырые ответы'!B3</f>
        <v/>
      </c>
      <c r="B305" t="inlineStr">
        <is>
          <t>H1</t>
        </is>
      </c>
      <c r="C305" t="inlineStr">
        <is>
          <t>ТОП-3 проблемы</t>
        </is>
      </c>
      <c r="D305">
        <f>IF('Сырые ответы'!BJ3="","",'Сырые ответы'!BJ3)</f>
        <v/>
      </c>
    </row>
    <row r="306">
      <c r="A306">
        <f>'Сырые ответы'!B4</f>
        <v/>
      </c>
      <c r="B306" t="inlineStr">
        <is>
          <t>H1</t>
        </is>
      </c>
      <c r="C306" t="inlineStr">
        <is>
          <t>ТОП-3 проблемы</t>
        </is>
      </c>
      <c r="D306">
        <f>IF('Сырые ответы'!BJ4="","",'Сырые ответы'!BJ4)</f>
        <v/>
      </c>
    </row>
    <row r="307">
      <c r="A307">
        <f>'Сырые ответы'!B5</f>
        <v/>
      </c>
      <c r="B307" t="inlineStr">
        <is>
          <t>H1</t>
        </is>
      </c>
      <c r="C307" t="inlineStr">
        <is>
          <t>ТОП-3 проблемы</t>
        </is>
      </c>
      <c r="D307">
        <f>IF('Сырые ответы'!BJ5="","",'Сырые ответы'!BJ5)</f>
        <v/>
      </c>
    </row>
    <row r="308">
      <c r="A308">
        <f>'Сырые ответы'!B6</f>
        <v/>
      </c>
      <c r="B308" t="inlineStr">
        <is>
          <t>H1</t>
        </is>
      </c>
      <c r="C308" t="inlineStr">
        <is>
          <t>ТОП-3 проблемы</t>
        </is>
      </c>
      <c r="D308">
        <f>IF('Сырые ответы'!BJ6="","",'Сырые ответы'!BJ6)</f>
        <v/>
      </c>
    </row>
    <row r="309">
      <c r="A309">
        <f>'Сырые ответы'!B7</f>
        <v/>
      </c>
      <c r="B309" t="inlineStr">
        <is>
          <t>H1</t>
        </is>
      </c>
      <c r="C309" t="inlineStr">
        <is>
          <t>ТОП-3 проблемы</t>
        </is>
      </c>
      <c r="D309">
        <f>IF('Сырые ответы'!BJ7="","",'Сырые ответы'!BJ7)</f>
        <v/>
      </c>
    </row>
    <row r="310">
      <c r="A310">
        <f>'Сырые ответы'!B8</f>
        <v/>
      </c>
      <c r="B310" t="inlineStr">
        <is>
          <t>H1</t>
        </is>
      </c>
      <c r="C310" t="inlineStr">
        <is>
          <t>ТОП-3 проблемы</t>
        </is>
      </c>
      <c r="D310">
        <f>IF('Сырые ответы'!BJ8="","",'Сырые ответы'!BJ8)</f>
        <v/>
      </c>
    </row>
    <row r="311">
      <c r="A311">
        <f>'Сырые ответы'!B9</f>
        <v/>
      </c>
      <c r="B311" t="inlineStr">
        <is>
          <t>H1</t>
        </is>
      </c>
      <c r="C311" t="inlineStr">
        <is>
          <t>ТОП-3 проблемы</t>
        </is>
      </c>
      <c r="D311">
        <f>IF('Сырые ответы'!BJ9="","",'Сырые ответы'!BJ9)</f>
        <v/>
      </c>
    </row>
    <row r="312">
      <c r="A312">
        <f>'Сырые ответы'!B10</f>
        <v/>
      </c>
      <c r="B312" t="inlineStr">
        <is>
          <t>H1</t>
        </is>
      </c>
      <c r="C312" t="inlineStr">
        <is>
          <t>ТОП-3 проблемы</t>
        </is>
      </c>
      <c r="D312">
        <f>IF('Сырые ответы'!BJ10="","",'Сырые ответы'!BJ10)</f>
        <v/>
      </c>
    </row>
    <row r="313">
      <c r="A313">
        <f>'Сырые ответы'!B11</f>
        <v/>
      </c>
      <c r="B313" t="inlineStr">
        <is>
          <t>H1</t>
        </is>
      </c>
      <c r="C313" t="inlineStr">
        <is>
          <t>ТОП-3 проблемы</t>
        </is>
      </c>
      <c r="D313">
        <f>IF('Сырые ответы'!BJ11="","",'Сырые ответы'!BJ11)</f>
        <v/>
      </c>
    </row>
    <row r="314">
      <c r="A314">
        <f>'Сырые ответы'!B12</f>
        <v/>
      </c>
      <c r="B314" t="inlineStr">
        <is>
          <t>H1</t>
        </is>
      </c>
      <c r="C314" t="inlineStr">
        <is>
          <t>ТОП-3 проблемы</t>
        </is>
      </c>
      <c r="D314">
        <f>IF('Сырые ответы'!BJ12="","",'Сырые ответы'!BJ12)</f>
        <v/>
      </c>
    </row>
    <row r="315">
      <c r="A315">
        <f>'Сырые ответы'!B13</f>
        <v/>
      </c>
      <c r="B315" t="inlineStr">
        <is>
          <t>H1</t>
        </is>
      </c>
      <c r="C315" t="inlineStr">
        <is>
          <t>ТОП-3 проблемы</t>
        </is>
      </c>
      <c r="D315">
        <f>IF('Сырые ответы'!BJ13="","",'Сырые ответы'!BJ13)</f>
        <v/>
      </c>
    </row>
    <row r="316">
      <c r="A316">
        <f>'Сырые ответы'!B14</f>
        <v/>
      </c>
      <c r="B316" t="inlineStr">
        <is>
          <t>H1</t>
        </is>
      </c>
      <c r="C316" t="inlineStr">
        <is>
          <t>ТОП-3 проблемы</t>
        </is>
      </c>
      <c r="D316">
        <f>IF('Сырые ответы'!BJ14="","",'Сырые ответы'!BJ14)</f>
        <v/>
      </c>
    </row>
    <row r="317">
      <c r="A317">
        <f>'Сырые ответы'!B15</f>
        <v/>
      </c>
      <c r="B317" t="inlineStr">
        <is>
          <t>H1</t>
        </is>
      </c>
      <c r="C317" t="inlineStr">
        <is>
          <t>ТОП-3 проблемы</t>
        </is>
      </c>
      <c r="D317">
        <f>IF('Сырые ответы'!BJ15="","",'Сырые ответы'!BJ15)</f>
        <v/>
      </c>
    </row>
    <row r="318">
      <c r="A318">
        <f>'Сырые ответы'!B16</f>
        <v/>
      </c>
      <c r="B318" t="inlineStr">
        <is>
          <t>H1</t>
        </is>
      </c>
      <c r="C318" t="inlineStr">
        <is>
          <t>ТОП-3 проблемы</t>
        </is>
      </c>
      <c r="D318">
        <f>IF('Сырые ответы'!BJ16="","",'Сырые ответы'!BJ16)</f>
        <v/>
      </c>
    </row>
    <row r="319">
      <c r="A319">
        <f>'Сырые ответы'!B17</f>
        <v/>
      </c>
      <c r="B319" t="inlineStr">
        <is>
          <t>H1</t>
        </is>
      </c>
      <c r="C319" t="inlineStr">
        <is>
          <t>ТОП-3 проблемы</t>
        </is>
      </c>
      <c r="D319">
        <f>IF('Сырые ответы'!BJ17="","",'Сырые ответы'!BJ17)</f>
        <v/>
      </c>
    </row>
    <row r="320">
      <c r="A320">
        <f>'Сырые ответы'!B18</f>
        <v/>
      </c>
      <c r="B320" t="inlineStr">
        <is>
          <t>H1</t>
        </is>
      </c>
      <c r="C320" t="inlineStr">
        <is>
          <t>ТОП-3 проблемы</t>
        </is>
      </c>
      <c r="D320">
        <f>IF('Сырые ответы'!BJ18="","",'Сырые ответы'!BJ18)</f>
        <v/>
      </c>
    </row>
    <row r="321">
      <c r="A321">
        <f>'Сырые ответы'!B19</f>
        <v/>
      </c>
      <c r="B321" t="inlineStr">
        <is>
          <t>H1</t>
        </is>
      </c>
      <c r="C321" t="inlineStr">
        <is>
          <t>ТОП-3 проблемы</t>
        </is>
      </c>
      <c r="D321">
        <f>IF('Сырые ответы'!BJ19="","",'Сырые ответы'!BJ19)</f>
        <v/>
      </c>
    </row>
    <row r="322">
      <c r="A322">
        <f>'Сырые ответы'!B20</f>
        <v/>
      </c>
      <c r="B322" t="inlineStr">
        <is>
          <t>H1</t>
        </is>
      </c>
      <c r="C322" t="inlineStr">
        <is>
          <t>ТОП-3 проблемы</t>
        </is>
      </c>
      <c r="D322">
        <f>IF('Сырые ответы'!BJ20="","",'Сырые ответы'!BJ20)</f>
        <v/>
      </c>
    </row>
    <row r="323">
      <c r="A323">
        <f>'Сырые ответы'!B21</f>
        <v/>
      </c>
      <c r="B323" t="inlineStr">
        <is>
          <t>H1</t>
        </is>
      </c>
      <c r="C323" t="inlineStr">
        <is>
          <t>ТОП-3 проблемы</t>
        </is>
      </c>
      <c r="D323">
        <f>IF('Сырые ответы'!BJ21="","",'Сырые ответы'!BJ21)</f>
        <v/>
      </c>
    </row>
    <row r="324">
      <c r="A324">
        <f>'Сырые ответы'!B22</f>
        <v/>
      </c>
      <c r="B324" t="inlineStr">
        <is>
          <t>H1</t>
        </is>
      </c>
      <c r="C324" t="inlineStr">
        <is>
          <t>ТОП-3 проблемы</t>
        </is>
      </c>
      <c r="D324">
        <f>IF('Сырые ответы'!BJ22="","",'Сырые ответы'!BJ22)</f>
        <v/>
      </c>
    </row>
    <row r="325">
      <c r="A325">
        <f>'Сырые ответы'!B23</f>
        <v/>
      </c>
      <c r="B325" t="inlineStr">
        <is>
          <t>H1</t>
        </is>
      </c>
      <c r="C325" t="inlineStr">
        <is>
          <t>ТОП-3 проблемы</t>
        </is>
      </c>
      <c r="D325">
        <f>IF('Сырые ответы'!BJ23="","",'Сырые ответы'!BJ23)</f>
        <v/>
      </c>
    </row>
    <row r="326">
      <c r="A326">
        <f>'Сырые ответы'!B24</f>
        <v/>
      </c>
      <c r="B326" t="inlineStr">
        <is>
          <t>H1</t>
        </is>
      </c>
      <c r="C326" t="inlineStr">
        <is>
          <t>ТОП-3 проблемы</t>
        </is>
      </c>
      <c r="D326">
        <f>IF('Сырые ответы'!BJ24="","",'Сырые ответы'!BJ24)</f>
        <v/>
      </c>
    </row>
    <row r="327">
      <c r="A327">
        <f>'Сырые ответы'!B25</f>
        <v/>
      </c>
      <c r="B327" t="inlineStr">
        <is>
          <t>H1</t>
        </is>
      </c>
      <c r="C327" t="inlineStr">
        <is>
          <t>ТОП-3 проблемы</t>
        </is>
      </c>
      <c r="D327">
        <f>IF('Сырые ответы'!BJ25="","",'Сырые ответы'!BJ25)</f>
        <v/>
      </c>
    </row>
    <row r="328">
      <c r="A328">
        <f>'Сырые ответы'!B26</f>
        <v/>
      </c>
      <c r="B328" t="inlineStr">
        <is>
          <t>H1</t>
        </is>
      </c>
      <c r="C328" t="inlineStr">
        <is>
          <t>ТОП-3 проблемы</t>
        </is>
      </c>
      <c r="D328">
        <f>IF('Сырые ответы'!BJ26="","",'Сырые ответы'!BJ26)</f>
        <v/>
      </c>
    </row>
    <row r="329">
      <c r="A329">
        <f>'Сырые ответы'!B27</f>
        <v/>
      </c>
      <c r="B329" t="inlineStr">
        <is>
          <t>H1</t>
        </is>
      </c>
      <c r="C329" t="inlineStr">
        <is>
          <t>ТОП-3 проблемы</t>
        </is>
      </c>
      <c r="D329">
        <f>IF('Сырые ответы'!BJ27="","",'Сырые ответы'!BJ27)</f>
        <v/>
      </c>
    </row>
    <row r="330">
      <c r="A330">
        <f>'Сырые ответы'!B28</f>
        <v/>
      </c>
      <c r="B330" t="inlineStr">
        <is>
          <t>H1</t>
        </is>
      </c>
      <c r="C330" t="inlineStr">
        <is>
          <t>ТОП-3 проблемы</t>
        </is>
      </c>
      <c r="D330">
        <f>IF('Сырые ответы'!BJ28="","",'Сырые ответы'!BJ28)</f>
        <v/>
      </c>
    </row>
    <row r="331">
      <c r="A331">
        <f>'Сырые ответы'!B29</f>
        <v/>
      </c>
      <c r="B331" t="inlineStr">
        <is>
          <t>H1</t>
        </is>
      </c>
      <c r="C331" t="inlineStr">
        <is>
          <t>ТОП-3 проблемы</t>
        </is>
      </c>
      <c r="D331">
        <f>IF('Сырые ответы'!BJ29="","",'Сырые ответы'!BJ29)</f>
        <v/>
      </c>
    </row>
    <row r="332">
      <c r="A332">
        <f>'Сырые ответы'!B30</f>
        <v/>
      </c>
      <c r="B332" t="inlineStr">
        <is>
          <t>H1</t>
        </is>
      </c>
      <c r="C332" t="inlineStr">
        <is>
          <t>ТОП-3 проблемы</t>
        </is>
      </c>
      <c r="D332">
        <f>IF('Сырые ответы'!BJ30="","",'Сырые ответы'!BJ30)</f>
        <v/>
      </c>
    </row>
    <row r="333">
      <c r="A333">
        <f>'Сырые ответы'!B31</f>
        <v/>
      </c>
      <c r="B333" t="inlineStr">
        <is>
          <t>H1</t>
        </is>
      </c>
      <c r="C333" t="inlineStr">
        <is>
          <t>ТОП-3 проблемы</t>
        </is>
      </c>
      <c r="D333">
        <f>IF('Сырые ответы'!BJ31="","",'Сырые ответы'!BJ31)</f>
        <v/>
      </c>
    </row>
    <row r="334">
      <c r="A334">
        <f>'Сырые ответы'!B32</f>
        <v/>
      </c>
      <c r="B334" t="inlineStr">
        <is>
          <t>H1</t>
        </is>
      </c>
      <c r="C334" t="inlineStr">
        <is>
          <t>ТОП-3 проблемы</t>
        </is>
      </c>
      <c r="D334">
        <f>IF('Сырые ответы'!BJ32="","",'Сырые ответы'!BJ32)</f>
        <v/>
      </c>
    </row>
    <row r="335">
      <c r="A335">
        <f>'Сырые ответы'!B33</f>
        <v/>
      </c>
      <c r="B335" t="inlineStr">
        <is>
          <t>H1</t>
        </is>
      </c>
      <c r="C335" t="inlineStr">
        <is>
          <t>ТОП-3 проблемы</t>
        </is>
      </c>
      <c r="D335">
        <f>IF('Сырые ответы'!BJ33="","",'Сырые ответы'!BJ33)</f>
        <v/>
      </c>
    </row>
    <row r="336">
      <c r="A336">
        <f>'Сырые ответы'!B34</f>
        <v/>
      </c>
      <c r="B336" t="inlineStr">
        <is>
          <t>H1</t>
        </is>
      </c>
      <c r="C336" t="inlineStr">
        <is>
          <t>ТОП-3 проблемы</t>
        </is>
      </c>
      <c r="D336">
        <f>IF('Сырые ответы'!BJ34="","",'Сырые ответы'!BJ34)</f>
        <v/>
      </c>
    </row>
    <row r="337">
      <c r="A337">
        <f>'Сырые ответы'!B35</f>
        <v/>
      </c>
      <c r="B337" t="inlineStr">
        <is>
          <t>H1</t>
        </is>
      </c>
      <c r="C337" t="inlineStr">
        <is>
          <t>ТОП-3 проблемы</t>
        </is>
      </c>
      <c r="D337">
        <f>IF('Сырые ответы'!BJ35="","",'Сырые ответы'!BJ35)</f>
        <v/>
      </c>
    </row>
    <row r="338">
      <c r="A338">
        <f>'Сырые ответы'!B36</f>
        <v/>
      </c>
      <c r="B338" t="inlineStr">
        <is>
          <t>H1</t>
        </is>
      </c>
      <c r="C338" t="inlineStr">
        <is>
          <t>ТОП-3 проблемы</t>
        </is>
      </c>
      <c r="D338">
        <f>IF('Сырые ответы'!BJ36="","",'Сырые ответы'!BJ36)</f>
        <v/>
      </c>
    </row>
    <row r="339">
      <c r="A339">
        <f>'Сырые ответы'!B37</f>
        <v/>
      </c>
      <c r="B339" t="inlineStr">
        <is>
          <t>H1</t>
        </is>
      </c>
      <c r="C339" t="inlineStr">
        <is>
          <t>ТОП-3 проблемы</t>
        </is>
      </c>
      <c r="D339">
        <f>IF('Сырые ответы'!BJ37="","",'Сырые ответы'!BJ37)</f>
        <v/>
      </c>
    </row>
    <row r="340">
      <c r="A340">
        <f>'Сырые ответы'!B38</f>
        <v/>
      </c>
      <c r="B340" t="inlineStr">
        <is>
          <t>H1</t>
        </is>
      </c>
      <c r="C340" t="inlineStr">
        <is>
          <t>ТОП-3 проблемы</t>
        </is>
      </c>
      <c r="D340">
        <f>IF('Сырые ответы'!BJ38="","",'Сырые ответы'!BJ38)</f>
        <v/>
      </c>
    </row>
    <row r="341">
      <c r="A341">
        <f>'Сырые ответы'!B39</f>
        <v/>
      </c>
      <c r="B341" t="inlineStr">
        <is>
          <t>H1</t>
        </is>
      </c>
      <c r="C341" t="inlineStr">
        <is>
          <t>ТОП-3 проблемы</t>
        </is>
      </c>
      <c r="D341">
        <f>IF('Сырые ответы'!BJ39="","",'Сырые ответы'!BJ39)</f>
        <v/>
      </c>
    </row>
    <row r="342">
      <c r="A342">
        <f>'Сырые ответы'!B40</f>
        <v/>
      </c>
      <c r="B342" t="inlineStr">
        <is>
          <t>H1</t>
        </is>
      </c>
      <c r="C342" t="inlineStr">
        <is>
          <t>ТОП-3 проблемы</t>
        </is>
      </c>
      <c r="D342">
        <f>IF('Сырые ответы'!BJ40="","",'Сырые ответы'!BJ40)</f>
        <v/>
      </c>
    </row>
    <row r="343">
      <c r="A343">
        <f>'Сырые ответы'!B41</f>
        <v/>
      </c>
      <c r="B343" t="inlineStr">
        <is>
          <t>H1</t>
        </is>
      </c>
      <c r="C343" t="inlineStr">
        <is>
          <t>ТОП-3 проблемы</t>
        </is>
      </c>
      <c r="D343">
        <f>IF('Сырые ответы'!BJ41="","",'Сырые ответы'!BJ41)</f>
        <v/>
      </c>
    </row>
    <row r="344">
      <c r="A344">
        <f>'Сырые ответы'!B42</f>
        <v/>
      </c>
      <c r="B344" t="inlineStr">
        <is>
          <t>H1</t>
        </is>
      </c>
      <c r="C344" t="inlineStr">
        <is>
          <t>ТОП-3 проблемы</t>
        </is>
      </c>
      <c r="D344">
        <f>IF('Сырые ответы'!BJ42="","",'Сырые ответы'!BJ42)</f>
        <v/>
      </c>
    </row>
    <row r="345">
      <c r="A345">
        <f>'Сырые ответы'!B43</f>
        <v/>
      </c>
      <c r="B345" t="inlineStr">
        <is>
          <t>H1</t>
        </is>
      </c>
      <c r="C345" t="inlineStr">
        <is>
          <t>ТОП-3 проблемы</t>
        </is>
      </c>
      <c r="D345">
        <f>IF('Сырые ответы'!BJ43="","",'Сырые ответы'!BJ43)</f>
        <v/>
      </c>
    </row>
    <row r="346">
      <c r="A346">
        <f>'Сырые ответы'!B44</f>
        <v/>
      </c>
      <c r="B346" t="inlineStr">
        <is>
          <t>H1</t>
        </is>
      </c>
      <c r="C346" t="inlineStr">
        <is>
          <t>ТОП-3 проблемы</t>
        </is>
      </c>
      <c r="D346">
        <f>IF('Сырые ответы'!BJ44="","",'Сырые ответы'!BJ44)</f>
        <v/>
      </c>
    </row>
    <row r="347">
      <c r="A347">
        <f>'Сырые ответы'!B45</f>
        <v/>
      </c>
      <c r="B347" t="inlineStr">
        <is>
          <t>H1</t>
        </is>
      </c>
      <c r="C347" t="inlineStr">
        <is>
          <t>ТОП-3 проблемы</t>
        </is>
      </c>
      <c r="D347">
        <f>IF('Сырые ответы'!BJ45="","",'Сырые ответы'!BJ45)</f>
        <v/>
      </c>
    </row>
    <row r="348">
      <c r="A348">
        <f>'Сырые ответы'!B46</f>
        <v/>
      </c>
      <c r="B348" t="inlineStr">
        <is>
          <t>H1</t>
        </is>
      </c>
      <c r="C348" t="inlineStr">
        <is>
          <t>ТОП-3 проблемы</t>
        </is>
      </c>
      <c r="D348">
        <f>IF('Сырые ответы'!BJ46="","",'Сырые ответы'!BJ46)</f>
        <v/>
      </c>
    </row>
    <row r="349">
      <c r="A349">
        <f>'Сырые ответы'!B47</f>
        <v/>
      </c>
      <c r="B349" t="inlineStr">
        <is>
          <t>H1</t>
        </is>
      </c>
      <c r="C349" t="inlineStr">
        <is>
          <t>ТОП-3 проблемы</t>
        </is>
      </c>
      <c r="D349">
        <f>IF('Сырые ответы'!BJ47="","",'Сырые ответы'!BJ47)</f>
        <v/>
      </c>
    </row>
    <row r="350">
      <c r="A350">
        <f>'Сырые ответы'!B48</f>
        <v/>
      </c>
      <c r="B350" t="inlineStr">
        <is>
          <t>H1</t>
        </is>
      </c>
      <c r="C350" t="inlineStr">
        <is>
          <t>ТОП-3 проблемы</t>
        </is>
      </c>
      <c r="D350">
        <f>IF('Сырые ответы'!BJ48="","",'Сырые ответы'!BJ48)</f>
        <v/>
      </c>
    </row>
    <row r="351">
      <c r="A351">
        <f>'Сырые ответы'!B49</f>
        <v/>
      </c>
      <c r="B351" t="inlineStr">
        <is>
          <t>H1</t>
        </is>
      </c>
      <c r="C351" t="inlineStr">
        <is>
          <t>ТОП-3 проблемы</t>
        </is>
      </c>
      <c r="D351">
        <f>IF('Сырые ответы'!BJ49="","",'Сырые ответы'!BJ49)</f>
        <v/>
      </c>
    </row>
    <row r="352">
      <c r="A352">
        <f>'Сырые ответы'!B50</f>
        <v/>
      </c>
      <c r="B352" t="inlineStr">
        <is>
          <t>H1</t>
        </is>
      </c>
      <c r="C352" t="inlineStr">
        <is>
          <t>ТОП-3 проблемы</t>
        </is>
      </c>
      <c r="D352">
        <f>IF('Сырые ответы'!BJ50="","",'Сырые ответы'!BJ50)</f>
        <v/>
      </c>
    </row>
    <row r="353">
      <c r="A353">
        <f>'Сырые ответы'!B51</f>
        <v/>
      </c>
      <c r="B353" t="inlineStr">
        <is>
          <t>H1</t>
        </is>
      </c>
      <c r="C353" t="inlineStr">
        <is>
          <t>ТОП-3 проблемы</t>
        </is>
      </c>
      <c r="D353">
        <f>IF('Сырые ответы'!BJ51="","",'Сырые ответы'!BJ51)</f>
        <v/>
      </c>
    </row>
    <row r="354">
      <c r="A354">
        <f>'Сырые ответы'!B2</f>
        <v/>
      </c>
      <c r="B354" t="inlineStr">
        <is>
          <t>H2</t>
        </is>
      </c>
      <c r="C354" t="inlineStr">
        <is>
          <t>ТОП-3 автоматизации</t>
        </is>
      </c>
      <c r="D354">
        <f>IF('Сырые ответы'!BK2="","",'Сырые ответы'!BK2)</f>
        <v/>
      </c>
    </row>
    <row r="355">
      <c r="A355">
        <f>'Сырые ответы'!B3</f>
        <v/>
      </c>
      <c r="B355" t="inlineStr">
        <is>
          <t>H2</t>
        </is>
      </c>
      <c r="C355" t="inlineStr">
        <is>
          <t>ТОП-3 автоматизации</t>
        </is>
      </c>
      <c r="D355">
        <f>IF('Сырые ответы'!BK3="","",'Сырые ответы'!BK3)</f>
        <v/>
      </c>
    </row>
    <row r="356">
      <c r="A356">
        <f>'Сырые ответы'!B4</f>
        <v/>
      </c>
      <c r="B356" t="inlineStr">
        <is>
          <t>H2</t>
        </is>
      </c>
      <c r="C356" t="inlineStr">
        <is>
          <t>ТОП-3 автоматизации</t>
        </is>
      </c>
      <c r="D356">
        <f>IF('Сырые ответы'!BK4="","",'Сырые ответы'!BK4)</f>
        <v/>
      </c>
    </row>
    <row r="357">
      <c r="A357">
        <f>'Сырые ответы'!B5</f>
        <v/>
      </c>
      <c r="B357" t="inlineStr">
        <is>
          <t>H2</t>
        </is>
      </c>
      <c r="C357" t="inlineStr">
        <is>
          <t>ТОП-3 автоматизации</t>
        </is>
      </c>
      <c r="D357">
        <f>IF('Сырые ответы'!BK5="","",'Сырые ответы'!BK5)</f>
        <v/>
      </c>
    </row>
    <row r="358">
      <c r="A358">
        <f>'Сырые ответы'!B6</f>
        <v/>
      </c>
      <c r="B358" t="inlineStr">
        <is>
          <t>H2</t>
        </is>
      </c>
      <c r="C358" t="inlineStr">
        <is>
          <t>ТОП-3 автоматизации</t>
        </is>
      </c>
      <c r="D358">
        <f>IF('Сырые ответы'!BK6="","",'Сырые ответы'!BK6)</f>
        <v/>
      </c>
    </row>
    <row r="359">
      <c r="A359">
        <f>'Сырые ответы'!B7</f>
        <v/>
      </c>
      <c r="B359" t="inlineStr">
        <is>
          <t>H2</t>
        </is>
      </c>
      <c r="C359" t="inlineStr">
        <is>
          <t>ТОП-3 автоматизации</t>
        </is>
      </c>
      <c r="D359">
        <f>IF('Сырые ответы'!BK7="","",'Сырые ответы'!BK7)</f>
        <v/>
      </c>
    </row>
    <row r="360">
      <c r="A360">
        <f>'Сырые ответы'!B8</f>
        <v/>
      </c>
      <c r="B360" t="inlineStr">
        <is>
          <t>H2</t>
        </is>
      </c>
      <c r="C360" t="inlineStr">
        <is>
          <t>ТОП-3 автоматизации</t>
        </is>
      </c>
      <c r="D360">
        <f>IF('Сырые ответы'!BK8="","",'Сырые ответы'!BK8)</f>
        <v/>
      </c>
    </row>
    <row r="361">
      <c r="A361">
        <f>'Сырые ответы'!B9</f>
        <v/>
      </c>
      <c r="B361" t="inlineStr">
        <is>
          <t>H2</t>
        </is>
      </c>
      <c r="C361" t="inlineStr">
        <is>
          <t>ТОП-3 автоматизации</t>
        </is>
      </c>
      <c r="D361">
        <f>IF('Сырые ответы'!BK9="","",'Сырые ответы'!BK9)</f>
        <v/>
      </c>
    </row>
    <row r="362">
      <c r="A362">
        <f>'Сырые ответы'!B10</f>
        <v/>
      </c>
      <c r="B362" t="inlineStr">
        <is>
          <t>H2</t>
        </is>
      </c>
      <c r="C362" t="inlineStr">
        <is>
          <t>ТОП-3 автоматизации</t>
        </is>
      </c>
      <c r="D362">
        <f>IF('Сырые ответы'!BK10="","",'Сырые ответы'!BK10)</f>
        <v/>
      </c>
    </row>
    <row r="363">
      <c r="A363">
        <f>'Сырые ответы'!B11</f>
        <v/>
      </c>
      <c r="B363" t="inlineStr">
        <is>
          <t>H2</t>
        </is>
      </c>
      <c r="C363" t="inlineStr">
        <is>
          <t>ТОП-3 автоматизации</t>
        </is>
      </c>
      <c r="D363">
        <f>IF('Сырые ответы'!BK11="","",'Сырые ответы'!BK11)</f>
        <v/>
      </c>
    </row>
    <row r="364">
      <c r="A364">
        <f>'Сырые ответы'!B12</f>
        <v/>
      </c>
      <c r="B364" t="inlineStr">
        <is>
          <t>H2</t>
        </is>
      </c>
      <c r="C364" t="inlineStr">
        <is>
          <t>ТОП-3 автоматизации</t>
        </is>
      </c>
      <c r="D364">
        <f>IF('Сырые ответы'!BK12="","",'Сырые ответы'!BK12)</f>
        <v/>
      </c>
    </row>
    <row r="365">
      <c r="A365">
        <f>'Сырые ответы'!B13</f>
        <v/>
      </c>
      <c r="B365" t="inlineStr">
        <is>
          <t>H2</t>
        </is>
      </c>
      <c r="C365" t="inlineStr">
        <is>
          <t>ТОП-3 автоматизации</t>
        </is>
      </c>
      <c r="D365">
        <f>IF('Сырые ответы'!BK13="","",'Сырые ответы'!BK13)</f>
        <v/>
      </c>
    </row>
    <row r="366">
      <c r="A366">
        <f>'Сырые ответы'!B14</f>
        <v/>
      </c>
      <c r="B366" t="inlineStr">
        <is>
          <t>H2</t>
        </is>
      </c>
      <c r="C366" t="inlineStr">
        <is>
          <t>ТОП-3 автоматизации</t>
        </is>
      </c>
      <c r="D366">
        <f>IF('Сырые ответы'!BK14="","",'Сырые ответы'!BK14)</f>
        <v/>
      </c>
    </row>
    <row r="367">
      <c r="A367">
        <f>'Сырые ответы'!B15</f>
        <v/>
      </c>
      <c r="B367" t="inlineStr">
        <is>
          <t>H2</t>
        </is>
      </c>
      <c r="C367" t="inlineStr">
        <is>
          <t>ТОП-3 автоматизации</t>
        </is>
      </c>
      <c r="D367">
        <f>IF('Сырые ответы'!BK15="","",'Сырые ответы'!BK15)</f>
        <v/>
      </c>
    </row>
    <row r="368">
      <c r="A368">
        <f>'Сырые ответы'!B16</f>
        <v/>
      </c>
      <c r="B368" t="inlineStr">
        <is>
          <t>H2</t>
        </is>
      </c>
      <c r="C368" t="inlineStr">
        <is>
          <t>ТОП-3 автоматизации</t>
        </is>
      </c>
      <c r="D368">
        <f>IF('Сырые ответы'!BK16="","",'Сырые ответы'!BK16)</f>
        <v/>
      </c>
    </row>
    <row r="369">
      <c r="A369">
        <f>'Сырые ответы'!B17</f>
        <v/>
      </c>
      <c r="B369" t="inlineStr">
        <is>
          <t>H2</t>
        </is>
      </c>
      <c r="C369" t="inlineStr">
        <is>
          <t>ТОП-3 автоматизации</t>
        </is>
      </c>
      <c r="D369">
        <f>IF('Сырые ответы'!BK17="","",'Сырые ответы'!BK17)</f>
        <v/>
      </c>
    </row>
    <row r="370">
      <c r="A370">
        <f>'Сырые ответы'!B18</f>
        <v/>
      </c>
      <c r="B370" t="inlineStr">
        <is>
          <t>H2</t>
        </is>
      </c>
      <c r="C370" t="inlineStr">
        <is>
          <t>ТОП-3 автоматизации</t>
        </is>
      </c>
      <c r="D370">
        <f>IF('Сырые ответы'!BK18="","",'Сырые ответы'!BK18)</f>
        <v/>
      </c>
    </row>
    <row r="371">
      <c r="A371">
        <f>'Сырые ответы'!B19</f>
        <v/>
      </c>
      <c r="B371" t="inlineStr">
        <is>
          <t>H2</t>
        </is>
      </c>
      <c r="C371" t="inlineStr">
        <is>
          <t>ТОП-3 автоматизации</t>
        </is>
      </c>
      <c r="D371">
        <f>IF('Сырые ответы'!BK19="","",'Сырые ответы'!BK19)</f>
        <v/>
      </c>
    </row>
    <row r="372">
      <c r="A372">
        <f>'Сырые ответы'!B20</f>
        <v/>
      </c>
      <c r="B372" t="inlineStr">
        <is>
          <t>H2</t>
        </is>
      </c>
      <c r="C372" t="inlineStr">
        <is>
          <t>ТОП-3 автоматизации</t>
        </is>
      </c>
      <c r="D372">
        <f>IF('Сырые ответы'!BK20="","",'Сырые ответы'!BK20)</f>
        <v/>
      </c>
    </row>
    <row r="373">
      <c r="A373">
        <f>'Сырые ответы'!B21</f>
        <v/>
      </c>
      <c r="B373" t="inlineStr">
        <is>
          <t>H2</t>
        </is>
      </c>
      <c r="C373" t="inlineStr">
        <is>
          <t>ТОП-3 автоматизации</t>
        </is>
      </c>
      <c r="D373">
        <f>IF('Сырые ответы'!BK21="","",'Сырые ответы'!BK21)</f>
        <v/>
      </c>
    </row>
    <row r="374">
      <c r="A374">
        <f>'Сырые ответы'!B22</f>
        <v/>
      </c>
      <c r="B374" t="inlineStr">
        <is>
          <t>H2</t>
        </is>
      </c>
      <c r="C374" t="inlineStr">
        <is>
          <t>ТОП-3 автоматизации</t>
        </is>
      </c>
      <c r="D374">
        <f>IF('Сырые ответы'!BK22="","",'Сырые ответы'!BK22)</f>
        <v/>
      </c>
    </row>
    <row r="375">
      <c r="A375">
        <f>'Сырые ответы'!B23</f>
        <v/>
      </c>
      <c r="B375" t="inlineStr">
        <is>
          <t>H2</t>
        </is>
      </c>
      <c r="C375" t="inlineStr">
        <is>
          <t>ТОП-3 автоматизации</t>
        </is>
      </c>
      <c r="D375">
        <f>IF('Сырые ответы'!BK23="","",'Сырые ответы'!BK23)</f>
        <v/>
      </c>
    </row>
    <row r="376">
      <c r="A376">
        <f>'Сырые ответы'!B24</f>
        <v/>
      </c>
      <c r="B376" t="inlineStr">
        <is>
          <t>H2</t>
        </is>
      </c>
      <c r="C376" t="inlineStr">
        <is>
          <t>ТОП-3 автоматизации</t>
        </is>
      </c>
      <c r="D376">
        <f>IF('Сырые ответы'!BK24="","",'Сырые ответы'!BK24)</f>
        <v/>
      </c>
    </row>
    <row r="377">
      <c r="A377">
        <f>'Сырые ответы'!B25</f>
        <v/>
      </c>
      <c r="B377" t="inlineStr">
        <is>
          <t>H2</t>
        </is>
      </c>
      <c r="C377" t="inlineStr">
        <is>
          <t>ТОП-3 автоматизации</t>
        </is>
      </c>
      <c r="D377">
        <f>IF('Сырые ответы'!BK25="","",'Сырые ответы'!BK25)</f>
        <v/>
      </c>
    </row>
    <row r="378">
      <c r="A378">
        <f>'Сырые ответы'!B26</f>
        <v/>
      </c>
      <c r="B378" t="inlineStr">
        <is>
          <t>H2</t>
        </is>
      </c>
      <c r="C378" t="inlineStr">
        <is>
          <t>ТОП-3 автоматизации</t>
        </is>
      </c>
      <c r="D378">
        <f>IF('Сырые ответы'!BK26="","",'Сырые ответы'!BK26)</f>
        <v/>
      </c>
    </row>
    <row r="379">
      <c r="A379">
        <f>'Сырые ответы'!B27</f>
        <v/>
      </c>
      <c r="B379" t="inlineStr">
        <is>
          <t>H2</t>
        </is>
      </c>
      <c r="C379" t="inlineStr">
        <is>
          <t>ТОП-3 автоматизации</t>
        </is>
      </c>
      <c r="D379">
        <f>IF('Сырые ответы'!BK27="","",'Сырые ответы'!BK27)</f>
        <v/>
      </c>
    </row>
    <row r="380">
      <c r="A380">
        <f>'Сырые ответы'!B28</f>
        <v/>
      </c>
      <c r="B380" t="inlineStr">
        <is>
          <t>H2</t>
        </is>
      </c>
      <c r="C380" t="inlineStr">
        <is>
          <t>ТОП-3 автоматизации</t>
        </is>
      </c>
      <c r="D380">
        <f>IF('Сырые ответы'!BK28="","",'Сырые ответы'!BK28)</f>
        <v/>
      </c>
    </row>
    <row r="381">
      <c r="A381">
        <f>'Сырые ответы'!B29</f>
        <v/>
      </c>
      <c r="B381" t="inlineStr">
        <is>
          <t>H2</t>
        </is>
      </c>
      <c r="C381" t="inlineStr">
        <is>
          <t>ТОП-3 автоматизации</t>
        </is>
      </c>
      <c r="D381">
        <f>IF('Сырые ответы'!BK29="","",'Сырые ответы'!BK29)</f>
        <v/>
      </c>
    </row>
    <row r="382">
      <c r="A382">
        <f>'Сырые ответы'!B30</f>
        <v/>
      </c>
      <c r="B382" t="inlineStr">
        <is>
          <t>H2</t>
        </is>
      </c>
      <c r="C382" t="inlineStr">
        <is>
          <t>ТОП-3 автоматизации</t>
        </is>
      </c>
      <c r="D382">
        <f>IF('Сырые ответы'!BK30="","",'Сырые ответы'!BK30)</f>
        <v/>
      </c>
    </row>
    <row r="383">
      <c r="A383">
        <f>'Сырые ответы'!B31</f>
        <v/>
      </c>
      <c r="B383" t="inlineStr">
        <is>
          <t>H2</t>
        </is>
      </c>
      <c r="C383" t="inlineStr">
        <is>
          <t>ТОП-3 автоматизации</t>
        </is>
      </c>
      <c r="D383">
        <f>IF('Сырые ответы'!BK31="","",'Сырые ответы'!BK31)</f>
        <v/>
      </c>
    </row>
    <row r="384">
      <c r="A384">
        <f>'Сырые ответы'!B32</f>
        <v/>
      </c>
      <c r="B384" t="inlineStr">
        <is>
          <t>H2</t>
        </is>
      </c>
      <c r="C384" t="inlineStr">
        <is>
          <t>ТОП-3 автоматизации</t>
        </is>
      </c>
      <c r="D384">
        <f>IF('Сырые ответы'!BK32="","",'Сырые ответы'!BK32)</f>
        <v/>
      </c>
    </row>
    <row r="385">
      <c r="A385">
        <f>'Сырые ответы'!B33</f>
        <v/>
      </c>
      <c r="B385" t="inlineStr">
        <is>
          <t>H2</t>
        </is>
      </c>
      <c r="C385" t="inlineStr">
        <is>
          <t>ТОП-3 автоматизации</t>
        </is>
      </c>
      <c r="D385">
        <f>IF('Сырые ответы'!BK33="","",'Сырые ответы'!BK33)</f>
        <v/>
      </c>
    </row>
    <row r="386">
      <c r="A386">
        <f>'Сырые ответы'!B34</f>
        <v/>
      </c>
      <c r="B386" t="inlineStr">
        <is>
          <t>H2</t>
        </is>
      </c>
      <c r="C386" t="inlineStr">
        <is>
          <t>ТОП-3 автоматизации</t>
        </is>
      </c>
      <c r="D386">
        <f>IF('Сырые ответы'!BK34="","",'Сырые ответы'!BK34)</f>
        <v/>
      </c>
    </row>
    <row r="387">
      <c r="A387">
        <f>'Сырые ответы'!B35</f>
        <v/>
      </c>
      <c r="B387" t="inlineStr">
        <is>
          <t>H2</t>
        </is>
      </c>
      <c r="C387" t="inlineStr">
        <is>
          <t>ТОП-3 автоматизации</t>
        </is>
      </c>
      <c r="D387">
        <f>IF('Сырые ответы'!BK35="","",'Сырые ответы'!BK35)</f>
        <v/>
      </c>
    </row>
    <row r="388">
      <c r="A388">
        <f>'Сырые ответы'!B36</f>
        <v/>
      </c>
      <c r="B388" t="inlineStr">
        <is>
          <t>H2</t>
        </is>
      </c>
      <c r="C388" t="inlineStr">
        <is>
          <t>ТОП-3 автоматизации</t>
        </is>
      </c>
      <c r="D388">
        <f>IF('Сырые ответы'!BK36="","",'Сырые ответы'!BK36)</f>
        <v/>
      </c>
    </row>
    <row r="389">
      <c r="A389">
        <f>'Сырые ответы'!B37</f>
        <v/>
      </c>
      <c r="B389" t="inlineStr">
        <is>
          <t>H2</t>
        </is>
      </c>
      <c r="C389" t="inlineStr">
        <is>
          <t>ТОП-3 автоматизации</t>
        </is>
      </c>
      <c r="D389">
        <f>IF('Сырые ответы'!BK37="","",'Сырые ответы'!BK37)</f>
        <v/>
      </c>
    </row>
    <row r="390">
      <c r="A390">
        <f>'Сырые ответы'!B38</f>
        <v/>
      </c>
      <c r="B390" t="inlineStr">
        <is>
          <t>H2</t>
        </is>
      </c>
      <c r="C390" t="inlineStr">
        <is>
          <t>ТОП-3 автоматизации</t>
        </is>
      </c>
      <c r="D390">
        <f>IF('Сырые ответы'!BK38="","",'Сырые ответы'!BK38)</f>
        <v/>
      </c>
    </row>
    <row r="391">
      <c r="A391">
        <f>'Сырые ответы'!B39</f>
        <v/>
      </c>
      <c r="B391" t="inlineStr">
        <is>
          <t>H2</t>
        </is>
      </c>
      <c r="C391" t="inlineStr">
        <is>
          <t>ТОП-3 автоматизации</t>
        </is>
      </c>
      <c r="D391">
        <f>IF('Сырые ответы'!BK39="","",'Сырые ответы'!BK39)</f>
        <v/>
      </c>
    </row>
    <row r="392">
      <c r="A392">
        <f>'Сырые ответы'!B40</f>
        <v/>
      </c>
      <c r="B392" t="inlineStr">
        <is>
          <t>H2</t>
        </is>
      </c>
      <c r="C392" t="inlineStr">
        <is>
          <t>ТОП-3 автоматизации</t>
        </is>
      </c>
      <c r="D392">
        <f>IF('Сырые ответы'!BK40="","",'Сырые ответы'!BK40)</f>
        <v/>
      </c>
    </row>
    <row r="393">
      <c r="A393">
        <f>'Сырые ответы'!B41</f>
        <v/>
      </c>
      <c r="B393" t="inlineStr">
        <is>
          <t>H2</t>
        </is>
      </c>
      <c r="C393" t="inlineStr">
        <is>
          <t>ТОП-3 автоматизации</t>
        </is>
      </c>
      <c r="D393">
        <f>IF('Сырые ответы'!BK41="","",'Сырые ответы'!BK41)</f>
        <v/>
      </c>
    </row>
    <row r="394">
      <c r="A394">
        <f>'Сырые ответы'!B42</f>
        <v/>
      </c>
      <c r="B394" t="inlineStr">
        <is>
          <t>H2</t>
        </is>
      </c>
      <c r="C394" t="inlineStr">
        <is>
          <t>ТОП-3 автоматизации</t>
        </is>
      </c>
      <c r="D394">
        <f>IF('Сырые ответы'!BK42="","",'Сырые ответы'!BK42)</f>
        <v/>
      </c>
    </row>
    <row r="395">
      <c r="A395">
        <f>'Сырые ответы'!B43</f>
        <v/>
      </c>
      <c r="B395" t="inlineStr">
        <is>
          <t>H2</t>
        </is>
      </c>
      <c r="C395" t="inlineStr">
        <is>
          <t>ТОП-3 автоматизации</t>
        </is>
      </c>
      <c r="D395">
        <f>IF('Сырые ответы'!BK43="","",'Сырые ответы'!BK43)</f>
        <v/>
      </c>
    </row>
    <row r="396">
      <c r="A396">
        <f>'Сырые ответы'!B44</f>
        <v/>
      </c>
      <c r="B396" t="inlineStr">
        <is>
          <t>H2</t>
        </is>
      </c>
      <c r="C396" t="inlineStr">
        <is>
          <t>ТОП-3 автоматизации</t>
        </is>
      </c>
      <c r="D396">
        <f>IF('Сырые ответы'!BK44="","",'Сырые ответы'!BK44)</f>
        <v/>
      </c>
    </row>
    <row r="397">
      <c r="A397">
        <f>'Сырые ответы'!B45</f>
        <v/>
      </c>
      <c r="B397" t="inlineStr">
        <is>
          <t>H2</t>
        </is>
      </c>
      <c r="C397" t="inlineStr">
        <is>
          <t>ТОП-3 автоматизации</t>
        </is>
      </c>
      <c r="D397">
        <f>IF('Сырые ответы'!BK45="","",'Сырые ответы'!BK45)</f>
        <v/>
      </c>
    </row>
    <row r="398">
      <c r="A398">
        <f>'Сырые ответы'!B46</f>
        <v/>
      </c>
      <c r="B398" t="inlineStr">
        <is>
          <t>H2</t>
        </is>
      </c>
      <c r="C398" t="inlineStr">
        <is>
          <t>ТОП-3 автоматизации</t>
        </is>
      </c>
      <c r="D398">
        <f>IF('Сырые ответы'!BK46="","",'Сырые ответы'!BK46)</f>
        <v/>
      </c>
    </row>
    <row r="399">
      <c r="A399">
        <f>'Сырые ответы'!B47</f>
        <v/>
      </c>
      <c r="B399" t="inlineStr">
        <is>
          <t>H2</t>
        </is>
      </c>
      <c r="C399" t="inlineStr">
        <is>
          <t>ТОП-3 автоматизации</t>
        </is>
      </c>
      <c r="D399">
        <f>IF('Сырые ответы'!BK47="","",'Сырые ответы'!BK47)</f>
        <v/>
      </c>
    </row>
    <row r="400">
      <c r="A400">
        <f>'Сырые ответы'!B48</f>
        <v/>
      </c>
      <c r="B400" t="inlineStr">
        <is>
          <t>H2</t>
        </is>
      </c>
      <c r="C400" t="inlineStr">
        <is>
          <t>ТОП-3 автоматизации</t>
        </is>
      </c>
      <c r="D400">
        <f>IF('Сырые ответы'!BK48="","",'Сырые ответы'!BK48)</f>
        <v/>
      </c>
    </row>
    <row r="401">
      <c r="A401">
        <f>'Сырые ответы'!B49</f>
        <v/>
      </c>
      <c r="B401" t="inlineStr">
        <is>
          <t>H2</t>
        </is>
      </c>
      <c r="C401" t="inlineStr">
        <is>
          <t>ТОП-3 автоматизации</t>
        </is>
      </c>
      <c r="D401">
        <f>IF('Сырые ответы'!BK49="","",'Сырые ответы'!BK49)</f>
        <v/>
      </c>
    </row>
    <row r="402">
      <c r="A402">
        <f>'Сырые ответы'!B50</f>
        <v/>
      </c>
      <c r="B402" t="inlineStr">
        <is>
          <t>H2</t>
        </is>
      </c>
      <c r="C402" t="inlineStr">
        <is>
          <t>ТОП-3 автоматизации</t>
        </is>
      </c>
      <c r="D402">
        <f>IF('Сырые ответы'!BK50="","",'Сырые ответы'!BK50)</f>
        <v/>
      </c>
    </row>
    <row r="403">
      <c r="A403">
        <f>'Сырые ответы'!B51</f>
        <v/>
      </c>
      <c r="B403" t="inlineStr">
        <is>
          <t>H2</t>
        </is>
      </c>
      <c r="C403" t="inlineStr">
        <is>
          <t>ТОП-3 автоматизации</t>
        </is>
      </c>
      <c r="D403">
        <f>IF('Сырые ответы'!BK51="","",'Сырые ответы'!BK51)</f>
        <v/>
      </c>
    </row>
    <row r="404">
      <c r="A404">
        <f>'Сырые ответы'!B2</f>
        <v/>
      </c>
      <c r="B404" t="inlineStr">
        <is>
          <t>H3</t>
        </is>
      </c>
      <c r="C404" t="inlineStr">
        <is>
          <t>Одно главное изменение</t>
        </is>
      </c>
      <c r="D404">
        <f>IF('Сырые ответы'!BL2="","",'Сырые ответы'!BL2)</f>
        <v/>
      </c>
    </row>
    <row r="405">
      <c r="A405">
        <f>'Сырые ответы'!B3</f>
        <v/>
      </c>
      <c r="B405" t="inlineStr">
        <is>
          <t>H3</t>
        </is>
      </c>
      <c r="C405" t="inlineStr">
        <is>
          <t>Одно главное изменение</t>
        </is>
      </c>
      <c r="D405">
        <f>IF('Сырые ответы'!BL3="","",'Сырые ответы'!BL3)</f>
        <v/>
      </c>
    </row>
    <row r="406">
      <c r="A406">
        <f>'Сырые ответы'!B4</f>
        <v/>
      </c>
      <c r="B406" t="inlineStr">
        <is>
          <t>H3</t>
        </is>
      </c>
      <c r="C406" t="inlineStr">
        <is>
          <t>Одно главное изменение</t>
        </is>
      </c>
      <c r="D406">
        <f>IF('Сырые ответы'!BL4="","",'Сырые ответы'!BL4)</f>
        <v/>
      </c>
    </row>
    <row r="407">
      <c r="A407">
        <f>'Сырые ответы'!B5</f>
        <v/>
      </c>
      <c r="B407" t="inlineStr">
        <is>
          <t>H3</t>
        </is>
      </c>
      <c r="C407" t="inlineStr">
        <is>
          <t>Одно главное изменение</t>
        </is>
      </c>
      <c r="D407">
        <f>IF('Сырые ответы'!BL5="","",'Сырые ответы'!BL5)</f>
        <v/>
      </c>
    </row>
    <row r="408">
      <c r="A408">
        <f>'Сырые ответы'!B6</f>
        <v/>
      </c>
      <c r="B408" t="inlineStr">
        <is>
          <t>H3</t>
        </is>
      </c>
      <c r="C408" t="inlineStr">
        <is>
          <t>Одно главное изменение</t>
        </is>
      </c>
      <c r="D408">
        <f>IF('Сырые ответы'!BL6="","",'Сырые ответы'!BL6)</f>
        <v/>
      </c>
    </row>
    <row r="409">
      <c r="A409">
        <f>'Сырые ответы'!B7</f>
        <v/>
      </c>
      <c r="B409" t="inlineStr">
        <is>
          <t>H3</t>
        </is>
      </c>
      <c r="C409" t="inlineStr">
        <is>
          <t>Одно главное изменение</t>
        </is>
      </c>
      <c r="D409">
        <f>IF('Сырые ответы'!BL7="","",'Сырые ответы'!BL7)</f>
        <v/>
      </c>
    </row>
    <row r="410">
      <c r="A410">
        <f>'Сырые ответы'!B8</f>
        <v/>
      </c>
      <c r="B410" t="inlineStr">
        <is>
          <t>H3</t>
        </is>
      </c>
      <c r="C410" t="inlineStr">
        <is>
          <t>Одно главное изменение</t>
        </is>
      </c>
      <c r="D410">
        <f>IF('Сырые ответы'!BL8="","",'Сырые ответы'!BL8)</f>
        <v/>
      </c>
    </row>
    <row r="411">
      <c r="A411">
        <f>'Сырые ответы'!B9</f>
        <v/>
      </c>
      <c r="B411" t="inlineStr">
        <is>
          <t>H3</t>
        </is>
      </c>
      <c r="C411" t="inlineStr">
        <is>
          <t>Одно главное изменение</t>
        </is>
      </c>
      <c r="D411">
        <f>IF('Сырые ответы'!BL9="","",'Сырые ответы'!BL9)</f>
        <v/>
      </c>
    </row>
    <row r="412">
      <c r="A412">
        <f>'Сырые ответы'!B10</f>
        <v/>
      </c>
      <c r="B412" t="inlineStr">
        <is>
          <t>H3</t>
        </is>
      </c>
      <c r="C412" t="inlineStr">
        <is>
          <t>Одно главное изменение</t>
        </is>
      </c>
      <c r="D412">
        <f>IF('Сырые ответы'!BL10="","",'Сырые ответы'!BL10)</f>
        <v/>
      </c>
    </row>
    <row r="413">
      <c r="A413">
        <f>'Сырые ответы'!B11</f>
        <v/>
      </c>
      <c r="B413" t="inlineStr">
        <is>
          <t>H3</t>
        </is>
      </c>
      <c r="C413" t="inlineStr">
        <is>
          <t>Одно главное изменение</t>
        </is>
      </c>
      <c r="D413">
        <f>IF('Сырые ответы'!BL11="","",'Сырые ответы'!BL11)</f>
        <v/>
      </c>
    </row>
    <row r="414">
      <c r="A414">
        <f>'Сырые ответы'!B12</f>
        <v/>
      </c>
      <c r="B414" t="inlineStr">
        <is>
          <t>H3</t>
        </is>
      </c>
      <c r="C414" t="inlineStr">
        <is>
          <t>Одно главное изменение</t>
        </is>
      </c>
      <c r="D414">
        <f>IF('Сырые ответы'!BL12="","",'Сырые ответы'!BL12)</f>
        <v/>
      </c>
    </row>
    <row r="415">
      <c r="A415">
        <f>'Сырые ответы'!B13</f>
        <v/>
      </c>
      <c r="B415" t="inlineStr">
        <is>
          <t>H3</t>
        </is>
      </c>
      <c r="C415" t="inlineStr">
        <is>
          <t>Одно главное изменение</t>
        </is>
      </c>
      <c r="D415">
        <f>IF('Сырые ответы'!BL13="","",'Сырые ответы'!BL13)</f>
        <v/>
      </c>
    </row>
    <row r="416">
      <c r="A416">
        <f>'Сырые ответы'!B14</f>
        <v/>
      </c>
      <c r="B416" t="inlineStr">
        <is>
          <t>H3</t>
        </is>
      </c>
      <c r="C416" t="inlineStr">
        <is>
          <t>Одно главное изменение</t>
        </is>
      </c>
      <c r="D416">
        <f>IF('Сырые ответы'!BL14="","",'Сырые ответы'!BL14)</f>
        <v/>
      </c>
    </row>
    <row r="417">
      <c r="A417">
        <f>'Сырые ответы'!B15</f>
        <v/>
      </c>
      <c r="B417" t="inlineStr">
        <is>
          <t>H3</t>
        </is>
      </c>
      <c r="C417" t="inlineStr">
        <is>
          <t>Одно главное изменение</t>
        </is>
      </c>
      <c r="D417">
        <f>IF('Сырые ответы'!BL15="","",'Сырые ответы'!BL15)</f>
        <v/>
      </c>
    </row>
    <row r="418">
      <c r="A418">
        <f>'Сырые ответы'!B16</f>
        <v/>
      </c>
      <c r="B418" t="inlineStr">
        <is>
          <t>H3</t>
        </is>
      </c>
      <c r="C418" t="inlineStr">
        <is>
          <t>Одно главное изменение</t>
        </is>
      </c>
      <c r="D418">
        <f>IF('Сырые ответы'!BL16="","",'Сырые ответы'!BL16)</f>
        <v/>
      </c>
    </row>
    <row r="419">
      <c r="A419">
        <f>'Сырые ответы'!B17</f>
        <v/>
      </c>
      <c r="B419" t="inlineStr">
        <is>
          <t>H3</t>
        </is>
      </c>
      <c r="C419" t="inlineStr">
        <is>
          <t>Одно главное изменение</t>
        </is>
      </c>
      <c r="D419">
        <f>IF('Сырые ответы'!BL17="","",'Сырые ответы'!BL17)</f>
        <v/>
      </c>
    </row>
    <row r="420">
      <c r="A420">
        <f>'Сырые ответы'!B18</f>
        <v/>
      </c>
      <c r="B420" t="inlineStr">
        <is>
          <t>H3</t>
        </is>
      </c>
      <c r="C420" t="inlineStr">
        <is>
          <t>Одно главное изменение</t>
        </is>
      </c>
      <c r="D420">
        <f>IF('Сырые ответы'!BL18="","",'Сырые ответы'!BL18)</f>
        <v/>
      </c>
    </row>
    <row r="421">
      <c r="A421">
        <f>'Сырые ответы'!B19</f>
        <v/>
      </c>
      <c r="B421" t="inlineStr">
        <is>
          <t>H3</t>
        </is>
      </c>
      <c r="C421" t="inlineStr">
        <is>
          <t>Одно главное изменение</t>
        </is>
      </c>
      <c r="D421">
        <f>IF('Сырые ответы'!BL19="","",'Сырые ответы'!BL19)</f>
        <v/>
      </c>
    </row>
    <row r="422">
      <c r="A422">
        <f>'Сырые ответы'!B20</f>
        <v/>
      </c>
      <c r="B422" t="inlineStr">
        <is>
          <t>H3</t>
        </is>
      </c>
      <c r="C422" t="inlineStr">
        <is>
          <t>Одно главное изменение</t>
        </is>
      </c>
      <c r="D422">
        <f>IF('Сырые ответы'!BL20="","",'Сырые ответы'!BL20)</f>
        <v/>
      </c>
    </row>
    <row r="423">
      <c r="A423">
        <f>'Сырые ответы'!B21</f>
        <v/>
      </c>
      <c r="B423" t="inlineStr">
        <is>
          <t>H3</t>
        </is>
      </c>
      <c r="C423" t="inlineStr">
        <is>
          <t>Одно главное изменение</t>
        </is>
      </c>
      <c r="D423">
        <f>IF('Сырые ответы'!BL21="","",'Сырые ответы'!BL21)</f>
        <v/>
      </c>
    </row>
    <row r="424">
      <c r="A424">
        <f>'Сырые ответы'!B22</f>
        <v/>
      </c>
      <c r="B424" t="inlineStr">
        <is>
          <t>H3</t>
        </is>
      </c>
      <c r="C424" t="inlineStr">
        <is>
          <t>Одно главное изменение</t>
        </is>
      </c>
      <c r="D424">
        <f>IF('Сырые ответы'!BL22="","",'Сырые ответы'!BL22)</f>
        <v/>
      </c>
    </row>
    <row r="425">
      <c r="A425">
        <f>'Сырые ответы'!B23</f>
        <v/>
      </c>
      <c r="B425" t="inlineStr">
        <is>
          <t>H3</t>
        </is>
      </c>
      <c r="C425" t="inlineStr">
        <is>
          <t>Одно главное изменение</t>
        </is>
      </c>
      <c r="D425">
        <f>IF('Сырые ответы'!BL23="","",'Сырые ответы'!BL23)</f>
        <v/>
      </c>
    </row>
    <row r="426">
      <c r="A426">
        <f>'Сырые ответы'!B24</f>
        <v/>
      </c>
      <c r="B426" t="inlineStr">
        <is>
          <t>H3</t>
        </is>
      </c>
      <c r="C426" t="inlineStr">
        <is>
          <t>Одно главное изменение</t>
        </is>
      </c>
      <c r="D426">
        <f>IF('Сырые ответы'!BL24="","",'Сырые ответы'!BL24)</f>
        <v/>
      </c>
    </row>
    <row r="427">
      <c r="A427">
        <f>'Сырые ответы'!B25</f>
        <v/>
      </c>
      <c r="B427" t="inlineStr">
        <is>
          <t>H3</t>
        </is>
      </c>
      <c r="C427" t="inlineStr">
        <is>
          <t>Одно главное изменение</t>
        </is>
      </c>
      <c r="D427">
        <f>IF('Сырые ответы'!BL25="","",'Сырые ответы'!BL25)</f>
        <v/>
      </c>
    </row>
    <row r="428">
      <c r="A428">
        <f>'Сырые ответы'!B26</f>
        <v/>
      </c>
      <c r="B428" t="inlineStr">
        <is>
          <t>H3</t>
        </is>
      </c>
      <c r="C428" t="inlineStr">
        <is>
          <t>Одно главное изменение</t>
        </is>
      </c>
      <c r="D428">
        <f>IF('Сырые ответы'!BL26="","",'Сырые ответы'!BL26)</f>
        <v/>
      </c>
    </row>
    <row r="429">
      <c r="A429">
        <f>'Сырые ответы'!B27</f>
        <v/>
      </c>
      <c r="B429" t="inlineStr">
        <is>
          <t>H3</t>
        </is>
      </c>
      <c r="C429" t="inlineStr">
        <is>
          <t>Одно главное изменение</t>
        </is>
      </c>
      <c r="D429">
        <f>IF('Сырые ответы'!BL27="","",'Сырые ответы'!BL27)</f>
        <v/>
      </c>
    </row>
    <row r="430">
      <c r="A430">
        <f>'Сырые ответы'!B28</f>
        <v/>
      </c>
      <c r="B430" t="inlineStr">
        <is>
          <t>H3</t>
        </is>
      </c>
      <c r="C430" t="inlineStr">
        <is>
          <t>Одно главное изменение</t>
        </is>
      </c>
      <c r="D430">
        <f>IF('Сырые ответы'!BL28="","",'Сырые ответы'!BL28)</f>
        <v/>
      </c>
    </row>
    <row r="431">
      <c r="A431">
        <f>'Сырые ответы'!B29</f>
        <v/>
      </c>
      <c r="B431" t="inlineStr">
        <is>
          <t>H3</t>
        </is>
      </c>
      <c r="C431" t="inlineStr">
        <is>
          <t>Одно главное изменение</t>
        </is>
      </c>
      <c r="D431">
        <f>IF('Сырые ответы'!BL29="","",'Сырые ответы'!BL29)</f>
        <v/>
      </c>
    </row>
    <row r="432">
      <c r="A432">
        <f>'Сырые ответы'!B30</f>
        <v/>
      </c>
      <c r="B432" t="inlineStr">
        <is>
          <t>H3</t>
        </is>
      </c>
      <c r="C432" t="inlineStr">
        <is>
          <t>Одно главное изменение</t>
        </is>
      </c>
      <c r="D432">
        <f>IF('Сырые ответы'!BL30="","",'Сырые ответы'!BL30)</f>
        <v/>
      </c>
    </row>
    <row r="433">
      <c r="A433">
        <f>'Сырые ответы'!B31</f>
        <v/>
      </c>
      <c r="B433" t="inlineStr">
        <is>
          <t>H3</t>
        </is>
      </c>
      <c r="C433" t="inlineStr">
        <is>
          <t>Одно главное изменение</t>
        </is>
      </c>
      <c r="D433">
        <f>IF('Сырые ответы'!BL31="","",'Сырые ответы'!BL31)</f>
        <v/>
      </c>
    </row>
    <row r="434">
      <c r="A434">
        <f>'Сырые ответы'!B32</f>
        <v/>
      </c>
      <c r="B434" t="inlineStr">
        <is>
          <t>H3</t>
        </is>
      </c>
      <c r="C434" t="inlineStr">
        <is>
          <t>Одно главное изменение</t>
        </is>
      </c>
      <c r="D434">
        <f>IF('Сырые ответы'!BL32="","",'Сырые ответы'!BL32)</f>
        <v/>
      </c>
    </row>
    <row r="435">
      <c r="A435">
        <f>'Сырые ответы'!B33</f>
        <v/>
      </c>
      <c r="B435" t="inlineStr">
        <is>
          <t>H3</t>
        </is>
      </c>
      <c r="C435" t="inlineStr">
        <is>
          <t>Одно главное изменение</t>
        </is>
      </c>
      <c r="D435">
        <f>IF('Сырые ответы'!BL33="","",'Сырые ответы'!BL33)</f>
        <v/>
      </c>
    </row>
    <row r="436">
      <c r="A436">
        <f>'Сырые ответы'!B34</f>
        <v/>
      </c>
      <c r="B436" t="inlineStr">
        <is>
          <t>H3</t>
        </is>
      </c>
      <c r="C436" t="inlineStr">
        <is>
          <t>Одно главное изменение</t>
        </is>
      </c>
      <c r="D436">
        <f>IF('Сырые ответы'!BL34="","",'Сырые ответы'!BL34)</f>
        <v/>
      </c>
    </row>
    <row r="437">
      <c r="A437">
        <f>'Сырые ответы'!B35</f>
        <v/>
      </c>
      <c r="B437" t="inlineStr">
        <is>
          <t>H3</t>
        </is>
      </c>
      <c r="C437" t="inlineStr">
        <is>
          <t>Одно главное изменение</t>
        </is>
      </c>
      <c r="D437">
        <f>IF('Сырые ответы'!BL35="","",'Сырые ответы'!BL35)</f>
        <v/>
      </c>
    </row>
    <row r="438">
      <c r="A438">
        <f>'Сырые ответы'!B36</f>
        <v/>
      </c>
      <c r="B438" t="inlineStr">
        <is>
          <t>H3</t>
        </is>
      </c>
      <c r="C438" t="inlineStr">
        <is>
          <t>Одно главное изменение</t>
        </is>
      </c>
      <c r="D438">
        <f>IF('Сырые ответы'!BL36="","",'Сырые ответы'!BL36)</f>
        <v/>
      </c>
    </row>
    <row r="439">
      <c r="A439">
        <f>'Сырые ответы'!B37</f>
        <v/>
      </c>
      <c r="B439" t="inlineStr">
        <is>
          <t>H3</t>
        </is>
      </c>
      <c r="C439" t="inlineStr">
        <is>
          <t>Одно главное изменение</t>
        </is>
      </c>
      <c r="D439">
        <f>IF('Сырые ответы'!BL37="","",'Сырые ответы'!BL37)</f>
        <v/>
      </c>
    </row>
    <row r="440">
      <c r="A440">
        <f>'Сырые ответы'!B38</f>
        <v/>
      </c>
      <c r="B440" t="inlineStr">
        <is>
          <t>H3</t>
        </is>
      </c>
      <c r="C440" t="inlineStr">
        <is>
          <t>Одно главное изменение</t>
        </is>
      </c>
      <c r="D440">
        <f>IF('Сырые ответы'!BL38="","",'Сырые ответы'!BL38)</f>
        <v/>
      </c>
    </row>
    <row r="441">
      <c r="A441">
        <f>'Сырые ответы'!B39</f>
        <v/>
      </c>
      <c r="B441" t="inlineStr">
        <is>
          <t>H3</t>
        </is>
      </c>
      <c r="C441" t="inlineStr">
        <is>
          <t>Одно главное изменение</t>
        </is>
      </c>
      <c r="D441">
        <f>IF('Сырые ответы'!BL39="","",'Сырые ответы'!BL39)</f>
        <v/>
      </c>
    </row>
    <row r="442">
      <c r="A442">
        <f>'Сырые ответы'!B40</f>
        <v/>
      </c>
      <c r="B442" t="inlineStr">
        <is>
          <t>H3</t>
        </is>
      </c>
      <c r="C442" t="inlineStr">
        <is>
          <t>Одно главное изменение</t>
        </is>
      </c>
      <c r="D442">
        <f>IF('Сырые ответы'!BL40="","",'Сырые ответы'!BL40)</f>
        <v/>
      </c>
    </row>
    <row r="443">
      <c r="A443">
        <f>'Сырые ответы'!B41</f>
        <v/>
      </c>
      <c r="B443" t="inlineStr">
        <is>
          <t>H3</t>
        </is>
      </c>
      <c r="C443" t="inlineStr">
        <is>
          <t>Одно главное изменение</t>
        </is>
      </c>
      <c r="D443">
        <f>IF('Сырые ответы'!BL41="","",'Сырые ответы'!BL41)</f>
        <v/>
      </c>
    </row>
    <row r="444">
      <c r="A444">
        <f>'Сырые ответы'!B42</f>
        <v/>
      </c>
      <c r="B444" t="inlineStr">
        <is>
          <t>H3</t>
        </is>
      </c>
      <c r="C444" t="inlineStr">
        <is>
          <t>Одно главное изменение</t>
        </is>
      </c>
      <c r="D444">
        <f>IF('Сырые ответы'!BL42="","",'Сырые ответы'!BL42)</f>
        <v/>
      </c>
    </row>
    <row r="445">
      <c r="A445">
        <f>'Сырые ответы'!B43</f>
        <v/>
      </c>
      <c r="B445" t="inlineStr">
        <is>
          <t>H3</t>
        </is>
      </c>
      <c r="C445" t="inlineStr">
        <is>
          <t>Одно главное изменение</t>
        </is>
      </c>
      <c r="D445">
        <f>IF('Сырые ответы'!BL43="","",'Сырые ответы'!BL43)</f>
        <v/>
      </c>
    </row>
    <row r="446">
      <c r="A446">
        <f>'Сырые ответы'!B44</f>
        <v/>
      </c>
      <c r="B446" t="inlineStr">
        <is>
          <t>H3</t>
        </is>
      </c>
      <c r="C446" t="inlineStr">
        <is>
          <t>Одно главное изменение</t>
        </is>
      </c>
      <c r="D446">
        <f>IF('Сырые ответы'!BL44="","",'Сырые ответы'!BL44)</f>
        <v/>
      </c>
    </row>
    <row r="447">
      <c r="A447">
        <f>'Сырые ответы'!B45</f>
        <v/>
      </c>
      <c r="B447" t="inlineStr">
        <is>
          <t>H3</t>
        </is>
      </c>
      <c r="C447" t="inlineStr">
        <is>
          <t>Одно главное изменение</t>
        </is>
      </c>
      <c r="D447">
        <f>IF('Сырые ответы'!BL45="","",'Сырые ответы'!BL45)</f>
        <v/>
      </c>
    </row>
    <row r="448">
      <c r="A448">
        <f>'Сырые ответы'!B46</f>
        <v/>
      </c>
      <c r="B448" t="inlineStr">
        <is>
          <t>H3</t>
        </is>
      </c>
      <c r="C448" t="inlineStr">
        <is>
          <t>Одно главное изменение</t>
        </is>
      </c>
      <c r="D448">
        <f>IF('Сырые ответы'!BL46="","",'Сырые ответы'!BL46)</f>
        <v/>
      </c>
    </row>
    <row r="449">
      <c r="A449">
        <f>'Сырые ответы'!B47</f>
        <v/>
      </c>
      <c r="B449" t="inlineStr">
        <is>
          <t>H3</t>
        </is>
      </c>
      <c r="C449" t="inlineStr">
        <is>
          <t>Одно главное изменение</t>
        </is>
      </c>
      <c r="D449">
        <f>IF('Сырые ответы'!BL47="","",'Сырые ответы'!BL47)</f>
        <v/>
      </c>
    </row>
    <row r="450">
      <c r="A450">
        <f>'Сырые ответы'!B48</f>
        <v/>
      </c>
      <c r="B450" t="inlineStr">
        <is>
          <t>H3</t>
        </is>
      </c>
      <c r="C450" t="inlineStr">
        <is>
          <t>Одно главное изменение</t>
        </is>
      </c>
      <c r="D450">
        <f>IF('Сырые ответы'!BL48="","",'Сырые ответы'!BL48)</f>
        <v/>
      </c>
    </row>
    <row r="451">
      <c r="A451">
        <f>'Сырые ответы'!B49</f>
        <v/>
      </c>
      <c r="B451" t="inlineStr">
        <is>
          <t>H3</t>
        </is>
      </c>
      <c r="C451" t="inlineStr">
        <is>
          <t>Одно главное изменение</t>
        </is>
      </c>
      <c r="D451">
        <f>IF('Сырые ответы'!BL49="","",'Сырые ответы'!BL49)</f>
        <v/>
      </c>
    </row>
    <row r="452">
      <c r="A452">
        <f>'Сырые ответы'!B50</f>
        <v/>
      </c>
      <c r="B452" t="inlineStr">
        <is>
          <t>H3</t>
        </is>
      </c>
      <c r="C452" t="inlineStr">
        <is>
          <t>Одно главное изменение</t>
        </is>
      </c>
      <c r="D452">
        <f>IF('Сырые ответы'!BL50="","",'Сырые ответы'!BL50)</f>
        <v/>
      </c>
    </row>
    <row r="453">
      <c r="A453">
        <f>'Сырые ответы'!B51</f>
        <v/>
      </c>
      <c r="B453" t="inlineStr">
        <is>
          <t>H3</t>
        </is>
      </c>
      <c r="C453" t="inlineStr">
        <is>
          <t>Одно главное изменение</t>
        </is>
      </c>
      <c r="D453">
        <f>IF('Сырые ответы'!BL51="","",'Сырые ответы'!BL51)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14" customWidth="1" min="5" max="5"/>
    <col width="20" customWidth="1" min="6" max="6"/>
  </cols>
  <sheetData>
    <row r="1">
      <c r="A1" s="10" t="inlineStr">
        <is>
          <t>Кандидаты на углублённое интервью (H4 = Да / Возможно)</t>
        </is>
      </c>
    </row>
    <row r="2">
      <c r="A2" t="inlineStr">
        <is>
          <t>Отфильтруйте столбец C: оставить «Да» и «Возможно, по согласованию»; сортировать по столбцу E (низкие оценки — приоритет)</t>
        </is>
      </c>
    </row>
    <row r="3">
      <c r="A3" s="4" t="inlineStr">
        <is>
          <t>Филиал</t>
        </is>
      </c>
      <c r="B3" s="4" t="inlineStr">
        <is>
          <t>Должность</t>
        </is>
      </c>
      <c r="C3" s="4" t="inlineStr">
        <is>
          <t>Готовность к интервью</t>
        </is>
      </c>
      <c r="D3" s="4" t="inlineStr">
        <is>
          <t>Контакт</t>
        </is>
      </c>
      <c r="E3" s="4" t="inlineStr">
        <is>
          <t>Средняя оценка по шкалам</t>
        </is>
      </c>
      <c r="F3" s="4" t="inlineStr">
        <is>
          <t>Примечание</t>
        </is>
      </c>
    </row>
    <row r="4">
      <c r="A4">
        <f>'Сырые ответы'!B2</f>
        <v/>
      </c>
      <c r="B4">
        <f>'Сырые ответы'!C2</f>
        <v/>
      </c>
      <c r="C4">
        <f>'Сырые ответы'!BM2</f>
        <v/>
      </c>
      <c r="D4">
        <f>'Сырые ответы'!BN2</f>
        <v/>
      </c>
      <c r="E4">
        <f>IF(COUNT('Сырые ответы'!AL2,'Сырые ответы'!AN2,'Сырые ответы'!X2,'Сырые ответы'!AE2,'Сырые ответы'!BG2)=0,"",AVERAGE('Сырые ответы'!AL2,'Сырые ответы'!AN2,'Сырые ответы'!X2,'Сырые ответы'!AE2,'Сырые ответы'!BG2))</f>
        <v/>
      </c>
    </row>
    <row r="5">
      <c r="A5">
        <f>'Сырые ответы'!B3</f>
        <v/>
      </c>
      <c r="B5">
        <f>'Сырые ответы'!C3</f>
        <v/>
      </c>
      <c r="C5">
        <f>'Сырые ответы'!BM3</f>
        <v/>
      </c>
      <c r="D5">
        <f>'Сырые ответы'!BN3</f>
        <v/>
      </c>
      <c r="E5">
        <f>IF(COUNT('Сырые ответы'!AL3,'Сырые ответы'!AN3,'Сырые ответы'!X3,'Сырые ответы'!AE3,'Сырые ответы'!BG3)=0,"",AVERAGE('Сырые ответы'!AL3,'Сырые ответы'!AN3,'Сырые ответы'!X3,'Сырые ответы'!AE3,'Сырые ответы'!BG3))</f>
        <v/>
      </c>
    </row>
    <row r="6">
      <c r="A6">
        <f>'Сырые ответы'!B4</f>
        <v/>
      </c>
      <c r="B6">
        <f>'Сырые ответы'!C4</f>
        <v/>
      </c>
      <c r="C6">
        <f>'Сырые ответы'!BM4</f>
        <v/>
      </c>
      <c r="D6">
        <f>'Сырые ответы'!BN4</f>
        <v/>
      </c>
      <c r="E6">
        <f>IF(COUNT('Сырые ответы'!AL4,'Сырые ответы'!AN4,'Сырые ответы'!X4,'Сырые ответы'!AE4,'Сырые ответы'!BG4)=0,"",AVERAGE('Сырые ответы'!AL4,'Сырые ответы'!AN4,'Сырые ответы'!X4,'Сырые ответы'!AE4,'Сырые ответы'!BG4))</f>
        <v/>
      </c>
    </row>
    <row r="7">
      <c r="A7">
        <f>'Сырые ответы'!B5</f>
        <v/>
      </c>
      <c r="B7">
        <f>'Сырые ответы'!C5</f>
        <v/>
      </c>
      <c r="C7">
        <f>'Сырые ответы'!BM5</f>
        <v/>
      </c>
      <c r="D7">
        <f>'Сырые ответы'!BN5</f>
        <v/>
      </c>
      <c r="E7">
        <f>IF(COUNT('Сырые ответы'!AL5,'Сырые ответы'!AN5,'Сырые ответы'!X5,'Сырые ответы'!AE5,'Сырые ответы'!BG5)=0,"",AVERAGE('Сырые ответы'!AL5,'Сырые ответы'!AN5,'Сырые ответы'!X5,'Сырые ответы'!AE5,'Сырые ответы'!BG5))</f>
        <v/>
      </c>
    </row>
    <row r="8">
      <c r="A8">
        <f>'Сырые ответы'!B6</f>
        <v/>
      </c>
      <c r="B8">
        <f>'Сырые ответы'!C6</f>
        <v/>
      </c>
      <c r="C8">
        <f>'Сырые ответы'!BM6</f>
        <v/>
      </c>
      <c r="D8">
        <f>'Сырые ответы'!BN6</f>
        <v/>
      </c>
      <c r="E8">
        <f>IF(COUNT('Сырые ответы'!AL6,'Сырые ответы'!AN6,'Сырые ответы'!X6,'Сырые ответы'!AE6,'Сырые ответы'!BG6)=0,"",AVERAGE('Сырые ответы'!AL6,'Сырые ответы'!AN6,'Сырые ответы'!X6,'Сырые ответы'!AE6,'Сырые ответы'!BG6))</f>
        <v/>
      </c>
    </row>
    <row r="9">
      <c r="A9">
        <f>'Сырые ответы'!B7</f>
        <v/>
      </c>
      <c r="B9">
        <f>'Сырые ответы'!C7</f>
        <v/>
      </c>
      <c r="C9">
        <f>'Сырые ответы'!BM7</f>
        <v/>
      </c>
      <c r="D9">
        <f>'Сырые ответы'!BN7</f>
        <v/>
      </c>
      <c r="E9">
        <f>IF(COUNT('Сырые ответы'!AL7,'Сырые ответы'!AN7,'Сырые ответы'!X7,'Сырые ответы'!AE7,'Сырые ответы'!BG7)=0,"",AVERAGE('Сырые ответы'!AL7,'Сырые ответы'!AN7,'Сырые ответы'!X7,'Сырые ответы'!AE7,'Сырые ответы'!BG7))</f>
        <v/>
      </c>
    </row>
    <row r="10">
      <c r="A10">
        <f>'Сырые ответы'!B8</f>
        <v/>
      </c>
      <c r="B10">
        <f>'Сырые ответы'!C8</f>
        <v/>
      </c>
      <c r="C10">
        <f>'Сырые ответы'!BM8</f>
        <v/>
      </c>
      <c r="D10">
        <f>'Сырые ответы'!BN8</f>
        <v/>
      </c>
      <c r="E10">
        <f>IF(COUNT('Сырые ответы'!AL8,'Сырые ответы'!AN8,'Сырые ответы'!X8,'Сырые ответы'!AE8,'Сырые ответы'!BG8)=0,"",AVERAGE('Сырые ответы'!AL8,'Сырые ответы'!AN8,'Сырые ответы'!X8,'Сырые ответы'!AE8,'Сырые ответы'!BG8))</f>
        <v/>
      </c>
    </row>
    <row r="11">
      <c r="A11">
        <f>'Сырые ответы'!B9</f>
        <v/>
      </c>
      <c r="B11">
        <f>'Сырые ответы'!C9</f>
        <v/>
      </c>
      <c r="C11">
        <f>'Сырые ответы'!BM9</f>
        <v/>
      </c>
      <c r="D11">
        <f>'Сырые ответы'!BN9</f>
        <v/>
      </c>
      <c r="E11">
        <f>IF(COUNT('Сырые ответы'!AL9,'Сырые ответы'!AN9,'Сырые ответы'!X9,'Сырые ответы'!AE9,'Сырые ответы'!BG9)=0,"",AVERAGE('Сырые ответы'!AL9,'Сырые ответы'!AN9,'Сырые ответы'!X9,'Сырые ответы'!AE9,'Сырые ответы'!BG9))</f>
        <v/>
      </c>
    </row>
    <row r="12">
      <c r="A12">
        <f>'Сырые ответы'!B10</f>
        <v/>
      </c>
      <c r="B12">
        <f>'Сырые ответы'!C10</f>
        <v/>
      </c>
      <c r="C12">
        <f>'Сырые ответы'!BM10</f>
        <v/>
      </c>
      <c r="D12">
        <f>'Сырые ответы'!BN10</f>
        <v/>
      </c>
      <c r="E12">
        <f>IF(COUNT('Сырые ответы'!AL10,'Сырые ответы'!AN10,'Сырые ответы'!X10,'Сырые ответы'!AE10,'Сырые ответы'!BG10)=0,"",AVERAGE('Сырые ответы'!AL10,'Сырые ответы'!AN10,'Сырые ответы'!X10,'Сырые ответы'!AE10,'Сырые ответы'!BG10))</f>
        <v/>
      </c>
    </row>
    <row r="13">
      <c r="A13">
        <f>'Сырые ответы'!B11</f>
        <v/>
      </c>
      <c r="B13">
        <f>'Сырые ответы'!C11</f>
        <v/>
      </c>
      <c r="C13">
        <f>'Сырые ответы'!BM11</f>
        <v/>
      </c>
      <c r="D13">
        <f>'Сырые ответы'!BN11</f>
        <v/>
      </c>
      <c r="E13">
        <f>IF(COUNT('Сырые ответы'!AL11,'Сырые ответы'!AN11,'Сырые ответы'!X11,'Сырые ответы'!AE11,'Сырые ответы'!BG11)=0,"",AVERAGE('Сырые ответы'!AL11,'Сырые ответы'!AN11,'Сырые ответы'!X11,'Сырые ответы'!AE11,'Сырые ответы'!BG11))</f>
        <v/>
      </c>
    </row>
    <row r="14">
      <c r="A14">
        <f>'Сырые ответы'!B12</f>
        <v/>
      </c>
      <c r="B14">
        <f>'Сырые ответы'!C12</f>
        <v/>
      </c>
      <c r="C14">
        <f>'Сырые ответы'!BM12</f>
        <v/>
      </c>
      <c r="D14">
        <f>'Сырые ответы'!BN12</f>
        <v/>
      </c>
      <c r="E14">
        <f>IF(COUNT('Сырые ответы'!AL12,'Сырые ответы'!AN12,'Сырые ответы'!X12,'Сырые ответы'!AE12,'Сырые ответы'!BG12)=0,"",AVERAGE('Сырые ответы'!AL12,'Сырые ответы'!AN12,'Сырые ответы'!X12,'Сырые ответы'!AE12,'Сырые ответы'!BG12))</f>
        <v/>
      </c>
    </row>
    <row r="15">
      <c r="A15">
        <f>'Сырые ответы'!B13</f>
        <v/>
      </c>
      <c r="B15">
        <f>'Сырые ответы'!C13</f>
        <v/>
      </c>
      <c r="C15">
        <f>'Сырые ответы'!BM13</f>
        <v/>
      </c>
      <c r="D15">
        <f>'Сырые ответы'!BN13</f>
        <v/>
      </c>
      <c r="E15">
        <f>IF(COUNT('Сырые ответы'!AL13,'Сырые ответы'!AN13,'Сырые ответы'!X13,'Сырые ответы'!AE13,'Сырые ответы'!BG13)=0,"",AVERAGE('Сырые ответы'!AL13,'Сырые ответы'!AN13,'Сырые ответы'!X13,'Сырые ответы'!AE13,'Сырые ответы'!BG13))</f>
        <v/>
      </c>
    </row>
    <row r="16">
      <c r="A16">
        <f>'Сырые ответы'!B14</f>
        <v/>
      </c>
      <c r="B16">
        <f>'Сырые ответы'!C14</f>
        <v/>
      </c>
      <c r="C16">
        <f>'Сырые ответы'!BM14</f>
        <v/>
      </c>
      <c r="D16">
        <f>'Сырые ответы'!BN14</f>
        <v/>
      </c>
      <c r="E16">
        <f>IF(COUNT('Сырые ответы'!AL14,'Сырые ответы'!AN14,'Сырые ответы'!X14,'Сырые ответы'!AE14,'Сырые ответы'!BG14)=0,"",AVERAGE('Сырые ответы'!AL14,'Сырые ответы'!AN14,'Сырые ответы'!X14,'Сырые ответы'!AE14,'Сырые ответы'!BG14))</f>
        <v/>
      </c>
    </row>
    <row r="17">
      <c r="A17">
        <f>'Сырые ответы'!B15</f>
        <v/>
      </c>
      <c r="B17">
        <f>'Сырые ответы'!C15</f>
        <v/>
      </c>
      <c r="C17">
        <f>'Сырые ответы'!BM15</f>
        <v/>
      </c>
      <c r="D17">
        <f>'Сырые ответы'!BN15</f>
        <v/>
      </c>
      <c r="E17">
        <f>IF(COUNT('Сырые ответы'!AL15,'Сырые ответы'!AN15,'Сырые ответы'!X15,'Сырые ответы'!AE15,'Сырые ответы'!BG15)=0,"",AVERAGE('Сырые ответы'!AL15,'Сырые ответы'!AN15,'Сырые ответы'!X15,'Сырые ответы'!AE15,'Сырые ответы'!BG15))</f>
        <v/>
      </c>
    </row>
    <row r="18">
      <c r="A18">
        <f>'Сырые ответы'!B16</f>
        <v/>
      </c>
      <c r="B18">
        <f>'Сырые ответы'!C16</f>
        <v/>
      </c>
      <c r="C18">
        <f>'Сырые ответы'!BM16</f>
        <v/>
      </c>
      <c r="D18">
        <f>'Сырые ответы'!BN16</f>
        <v/>
      </c>
      <c r="E18">
        <f>IF(COUNT('Сырые ответы'!AL16,'Сырые ответы'!AN16,'Сырые ответы'!X16,'Сырые ответы'!AE16,'Сырые ответы'!BG16)=0,"",AVERAGE('Сырые ответы'!AL16,'Сырые ответы'!AN16,'Сырые ответы'!X16,'Сырые ответы'!AE16,'Сырые ответы'!BG16))</f>
        <v/>
      </c>
    </row>
    <row r="19">
      <c r="A19">
        <f>'Сырые ответы'!B17</f>
        <v/>
      </c>
      <c r="B19">
        <f>'Сырые ответы'!C17</f>
        <v/>
      </c>
      <c r="C19">
        <f>'Сырые ответы'!BM17</f>
        <v/>
      </c>
      <c r="D19">
        <f>'Сырые ответы'!BN17</f>
        <v/>
      </c>
      <c r="E19">
        <f>IF(COUNT('Сырые ответы'!AL17,'Сырые ответы'!AN17,'Сырые ответы'!X17,'Сырые ответы'!AE17,'Сырые ответы'!BG17)=0,"",AVERAGE('Сырые ответы'!AL17,'Сырые ответы'!AN17,'Сырые ответы'!X17,'Сырые ответы'!AE17,'Сырые ответы'!BG17))</f>
        <v/>
      </c>
    </row>
    <row r="20">
      <c r="A20">
        <f>'Сырые ответы'!B18</f>
        <v/>
      </c>
      <c r="B20">
        <f>'Сырые ответы'!C18</f>
        <v/>
      </c>
      <c r="C20">
        <f>'Сырые ответы'!BM18</f>
        <v/>
      </c>
      <c r="D20">
        <f>'Сырые ответы'!BN18</f>
        <v/>
      </c>
      <c r="E20">
        <f>IF(COUNT('Сырые ответы'!AL18,'Сырые ответы'!AN18,'Сырые ответы'!X18,'Сырые ответы'!AE18,'Сырые ответы'!BG18)=0,"",AVERAGE('Сырые ответы'!AL18,'Сырые ответы'!AN18,'Сырые ответы'!X18,'Сырые ответы'!AE18,'Сырые ответы'!BG18))</f>
        <v/>
      </c>
    </row>
    <row r="21">
      <c r="A21">
        <f>'Сырые ответы'!B19</f>
        <v/>
      </c>
      <c r="B21">
        <f>'Сырые ответы'!C19</f>
        <v/>
      </c>
      <c r="C21">
        <f>'Сырые ответы'!BM19</f>
        <v/>
      </c>
      <c r="D21">
        <f>'Сырые ответы'!BN19</f>
        <v/>
      </c>
      <c r="E21">
        <f>IF(COUNT('Сырые ответы'!AL19,'Сырые ответы'!AN19,'Сырые ответы'!X19,'Сырые ответы'!AE19,'Сырые ответы'!BG19)=0,"",AVERAGE('Сырые ответы'!AL19,'Сырые ответы'!AN19,'Сырые ответы'!X19,'Сырые ответы'!AE19,'Сырые ответы'!BG19))</f>
        <v/>
      </c>
    </row>
    <row r="22">
      <c r="A22">
        <f>'Сырые ответы'!B20</f>
        <v/>
      </c>
      <c r="B22">
        <f>'Сырые ответы'!C20</f>
        <v/>
      </c>
      <c r="C22">
        <f>'Сырые ответы'!BM20</f>
        <v/>
      </c>
      <c r="D22">
        <f>'Сырые ответы'!BN20</f>
        <v/>
      </c>
      <c r="E22">
        <f>IF(COUNT('Сырые ответы'!AL20,'Сырые ответы'!AN20,'Сырые ответы'!X20,'Сырые ответы'!AE20,'Сырые ответы'!BG20)=0,"",AVERAGE('Сырые ответы'!AL20,'Сырые ответы'!AN20,'Сырые ответы'!X20,'Сырые ответы'!AE20,'Сырые ответы'!BG20))</f>
        <v/>
      </c>
    </row>
    <row r="23">
      <c r="A23">
        <f>'Сырые ответы'!B21</f>
        <v/>
      </c>
      <c r="B23">
        <f>'Сырые ответы'!C21</f>
        <v/>
      </c>
      <c r="C23">
        <f>'Сырые ответы'!BM21</f>
        <v/>
      </c>
      <c r="D23">
        <f>'Сырые ответы'!BN21</f>
        <v/>
      </c>
      <c r="E23">
        <f>IF(COUNT('Сырые ответы'!AL21,'Сырые ответы'!AN21,'Сырые ответы'!X21,'Сырые ответы'!AE21,'Сырые ответы'!BG21)=0,"",AVERAGE('Сырые ответы'!AL21,'Сырые ответы'!AN21,'Сырые ответы'!X21,'Сырые ответы'!AE21,'Сырые ответы'!BG21))</f>
        <v/>
      </c>
    </row>
    <row r="24">
      <c r="A24">
        <f>'Сырые ответы'!B22</f>
        <v/>
      </c>
      <c r="B24">
        <f>'Сырые ответы'!C22</f>
        <v/>
      </c>
      <c r="C24">
        <f>'Сырые ответы'!BM22</f>
        <v/>
      </c>
      <c r="D24">
        <f>'Сырые ответы'!BN22</f>
        <v/>
      </c>
      <c r="E24">
        <f>IF(COUNT('Сырые ответы'!AL22,'Сырые ответы'!AN22,'Сырые ответы'!X22,'Сырые ответы'!AE22,'Сырые ответы'!BG22)=0,"",AVERAGE('Сырые ответы'!AL22,'Сырые ответы'!AN22,'Сырые ответы'!X22,'Сырые ответы'!AE22,'Сырые ответы'!BG22))</f>
        <v/>
      </c>
    </row>
    <row r="25">
      <c r="A25">
        <f>'Сырые ответы'!B23</f>
        <v/>
      </c>
      <c r="B25">
        <f>'Сырые ответы'!C23</f>
        <v/>
      </c>
      <c r="C25">
        <f>'Сырые ответы'!BM23</f>
        <v/>
      </c>
      <c r="D25">
        <f>'Сырые ответы'!BN23</f>
        <v/>
      </c>
      <c r="E25">
        <f>IF(COUNT('Сырые ответы'!AL23,'Сырые ответы'!AN23,'Сырые ответы'!X23,'Сырые ответы'!AE23,'Сырые ответы'!BG23)=0,"",AVERAGE('Сырые ответы'!AL23,'Сырые ответы'!AN23,'Сырые ответы'!X23,'Сырые ответы'!AE23,'Сырые ответы'!BG23))</f>
        <v/>
      </c>
    </row>
    <row r="26">
      <c r="A26">
        <f>'Сырые ответы'!B24</f>
        <v/>
      </c>
      <c r="B26">
        <f>'Сырые ответы'!C24</f>
        <v/>
      </c>
      <c r="C26">
        <f>'Сырые ответы'!BM24</f>
        <v/>
      </c>
      <c r="D26">
        <f>'Сырые ответы'!BN24</f>
        <v/>
      </c>
      <c r="E26">
        <f>IF(COUNT('Сырые ответы'!AL24,'Сырые ответы'!AN24,'Сырые ответы'!X24,'Сырые ответы'!AE24,'Сырые ответы'!BG24)=0,"",AVERAGE('Сырые ответы'!AL24,'Сырые ответы'!AN24,'Сырые ответы'!X24,'Сырые ответы'!AE24,'Сырые ответы'!BG24))</f>
        <v/>
      </c>
    </row>
    <row r="27">
      <c r="A27">
        <f>'Сырые ответы'!B25</f>
        <v/>
      </c>
      <c r="B27">
        <f>'Сырые ответы'!C25</f>
        <v/>
      </c>
      <c r="C27">
        <f>'Сырые ответы'!BM25</f>
        <v/>
      </c>
      <c r="D27">
        <f>'Сырые ответы'!BN25</f>
        <v/>
      </c>
      <c r="E27">
        <f>IF(COUNT('Сырые ответы'!AL25,'Сырые ответы'!AN25,'Сырые ответы'!X25,'Сырые ответы'!AE25,'Сырые ответы'!BG25)=0,"",AVERAGE('Сырые ответы'!AL25,'Сырые ответы'!AN25,'Сырые ответы'!X25,'Сырые ответы'!AE25,'Сырые ответы'!BG25))</f>
        <v/>
      </c>
    </row>
    <row r="28">
      <c r="A28">
        <f>'Сырые ответы'!B26</f>
        <v/>
      </c>
      <c r="B28">
        <f>'Сырые ответы'!C26</f>
        <v/>
      </c>
      <c r="C28">
        <f>'Сырые ответы'!BM26</f>
        <v/>
      </c>
      <c r="D28">
        <f>'Сырые ответы'!BN26</f>
        <v/>
      </c>
      <c r="E28">
        <f>IF(COUNT('Сырые ответы'!AL26,'Сырые ответы'!AN26,'Сырые ответы'!X26,'Сырые ответы'!AE26,'Сырые ответы'!BG26)=0,"",AVERAGE('Сырые ответы'!AL26,'Сырые ответы'!AN26,'Сырые ответы'!X26,'Сырые ответы'!AE26,'Сырые ответы'!BG26))</f>
        <v/>
      </c>
    </row>
    <row r="29">
      <c r="A29">
        <f>'Сырые ответы'!B27</f>
        <v/>
      </c>
      <c r="B29">
        <f>'Сырые ответы'!C27</f>
        <v/>
      </c>
      <c r="C29">
        <f>'Сырые ответы'!BM27</f>
        <v/>
      </c>
      <c r="D29">
        <f>'Сырые ответы'!BN27</f>
        <v/>
      </c>
      <c r="E29">
        <f>IF(COUNT('Сырые ответы'!AL27,'Сырые ответы'!AN27,'Сырые ответы'!X27,'Сырые ответы'!AE27,'Сырые ответы'!BG27)=0,"",AVERAGE('Сырые ответы'!AL27,'Сырые ответы'!AN27,'Сырые ответы'!X27,'Сырые ответы'!AE27,'Сырые ответы'!BG27))</f>
        <v/>
      </c>
    </row>
    <row r="30">
      <c r="A30">
        <f>'Сырые ответы'!B28</f>
        <v/>
      </c>
      <c r="B30">
        <f>'Сырые ответы'!C28</f>
        <v/>
      </c>
      <c r="C30">
        <f>'Сырые ответы'!BM28</f>
        <v/>
      </c>
      <c r="D30">
        <f>'Сырые ответы'!BN28</f>
        <v/>
      </c>
      <c r="E30">
        <f>IF(COUNT('Сырые ответы'!AL28,'Сырые ответы'!AN28,'Сырые ответы'!X28,'Сырые ответы'!AE28,'Сырые ответы'!BG28)=0,"",AVERAGE('Сырые ответы'!AL28,'Сырые ответы'!AN28,'Сырые ответы'!X28,'Сырые ответы'!AE28,'Сырые ответы'!BG28))</f>
        <v/>
      </c>
    </row>
    <row r="31">
      <c r="A31">
        <f>'Сырые ответы'!B29</f>
        <v/>
      </c>
      <c r="B31">
        <f>'Сырые ответы'!C29</f>
        <v/>
      </c>
      <c r="C31">
        <f>'Сырые ответы'!BM29</f>
        <v/>
      </c>
      <c r="D31">
        <f>'Сырые ответы'!BN29</f>
        <v/>
      </c>
      <c r="E31">
        <f>IF(COUNT('Сырые ответы'!AL29,'Сырые ответы'!AN29,'Сырые ответы'!X29,'Сырые ответы'!AE29,'Сырые ответы'!BG29)=0,"",AVERAGE('Сырые ответы'!AL29,'Сырые ответы'!AN29,'Сырые ответы'!X29,'Сырые ответы'!AE29,'Сырые ответы'!BG29))</f>
        <v/>
      </c>
    </row>
    <row r="32">
      <c r="A32">
        <f>'Сырые ответы'!B30</f>
        <v/>
      </c>
      <c r="B32">
        <f>'Сырые ответы'!C30</f>
        <v/>
      </c>
      <c r="C32">
        <f>'Сырые ответы'!BM30</f>
        <v/>
      </c>
      <c r="D32">
        <f>'Сырые ответы'!BN30</f>
        <v/>
      </c>
      <c r="E32">
        <f>IF(COUNT('Сырые ответы'!AL30,'Сырые ответы'!AN30,'Сырые ответы'!X30,'Сырые ответы'!AE30,'Сырые ответы'!BG30)=0,"",AVERAGE('Сырые ответы'!AL30,'Сырые ответы'!AN30,'Сырые ответы'!X30,'Сырые ответы'!AE30,'Сырые ответы'!BG30))</f>
        <v/>
      </c>
    </row>
    <row r="33">
      <c r="A33">
        <f>'Сырые ответы'!B31</f>
        <v/>
      </c>
      <c r="B33">
        <f>'Сырые ответы'!C31</f>
        <v/>
      </c>
      <c r="C33">
        <f>'Сырые ответы'!BM31</f>
        <v/>
      </c>
      <c r="D33">
        <f>'Сырые ответы'!BN31</f>
        <v/>
      </c>
      <c r="E33">
        <f>IF(COUNT('Сырые ответы'!AL31,'Сырые ответы'!AN31,'Сырые ответы'!X31,'Сырые ответы'!AE31,'Сырые ответы'!BG31)=0,"",AVERAGE('Сырые ответы'!AL31,'Сырые ответы'!AN31,'Сырые ответы'!X31,'Сырые ответы'!AE31,'Сырые ответы'!BG31))</f>
        <v/>
      </c>
    </row>
    <row r="34">
      <c r="A34">
        <f>'Сырые ответы'!B32</f>
        <v/>
      </c>
      <c r="B34">
        <f>'Сырые ответы'!C32</f>
        <v/>
      </c>
      <c r="C34">
        <f>'Сырые ответы'!BM32</f>
        <v/>
      </c>
      <c r="D34">
        <f>'Сырые ответы'!BN32</f>
        <v/>
      </c>
      <c r="E34">
        <f>IF(COUNT('Сырые ответы'!AL32,'Сырые ответы'!AN32,'Сырые ответы'!X32,'Сырые ответы'!AE32,'Сырые ответы'!BG32)=0,"",AVERAGE('Сырые ответы'!AL32,'Сырые ответы'!AN32,'Сырые ответы'!X32,'Сырые ответы'!AE32,'Сырые ответы'!BG32))</f>
        <v/>
      </c>
    </row>
    <row r="35">
      <c r="A35">
        <f>'Сырые ответы'!B33</f>
        <v/>
      </c>
      <c r="B35">
        <f>'Сырые ответы'!C33</f>
        <v/>
      </c>
      <c r="C35">
        <f>'Сырые ответы'!BM33</f>
        <v/>
      </c>
      <c r="D35">
        <f>'Сырые ответы'!BN33</f>
        <v/>
      </c>
      <c r="E35">
        <f>IF(COUNT('Сырые ответы'!AL33,'Сырые ответы'!AN33,'Сырые ответы'!X33,'Сырые ответы'!AE33,'Сырые ответы'!BG33)=0,"",AVERAGE('Сырые ответы'!AL33,'Сырые ответы'!AN33,'Сырые ответы'!X33,'Сырые ответы'!AE33,'Сырые ответы'!BG33))</f>
        <v/>
      </c>
    </row>
    <row r="36">
      <c r="A36">
        <f>'Сырые ответы'!B34</f>
        <v/>
      </c>
      <c r="B36">
        <f>'Сырые ответы'!C34</f>
        <v/>
      </c>
      <c r="C36">
        <f>'Сырые ответы'!BM34</f>
        <v/>
      </c>
      <c r="D36">
        <f>'Сырые ответы'!BN34</f>
        <v/>
      </c>
      <c r="E36">
        <f>IF(COUNT('Сырые ответы'!AL34,'Сырые ответы'!AN34,'Сырые ответы'!X34,'Сырые ответы'!AE34,'Сырые ответы'!BG34)=0,"",AVERAGE('Сырые ответы'!AL34,'Сырые ответы'!AN34,'Сырые ответы'!X34,'Сырые ответы'!AE34,'Сырые ответы'!BG34))</f>
        <v/>
      </c>
    </row>
    <row r="37">
      <c r="A37">
        <f>'Сырые ответы'!B35</f>
        <v/>
      </c>
      <c r="B37">
        <f>'Сырые ответы'!C35</f>
        <v/>
      </c>
      <c r="C37">
        <f>'Сырые ответы'!BM35</f>
        <v/>
      </c>
      <c r="D37">
        <f>'Сырые ответы'!BN35</f>
        <v/>
      </c>
      <c r="E37">
        <f>IF(COUNT('Сырые ответы'!AL35,'Сырые ответы'!AN35,'Сырые ответы'!X35,'Сырые ответы'!AE35,'Сырые ответы'!BG35)=0,"",AVERAGE('Сырые ответы'!AL35,'Сырые ответы'!AN35,'Сырые ответы'!X35,'Сырые ответы'!AE35,'Сырые ответы'!BG35))</f>
        <v/>
      </c>
    </row>
    <row r="38">
      <c r="A38">
        <f>'Сырые ответы'!B36</f>
        <v/>
      </c>
      <c r="B38">
        <f>'Сырые ответы'!C36</f>
        <v/>
      </c>
      <c r="C38">
        <f>'Сырые ответы'!BM36</f>
        <v/>
      </c>
      <c r="D38">
        <f>'Сырые ответы'!BN36</f>
        <v/>
      </c>
      <c r="E38">
        <f>IF(COUNT('Сырые ответы'!AL36,'Сырые ответы'!AN36,'Сырые ответы'!X36,'Сырые ответы'!AE36,'Сырые ответы'!BG36)=0,"",AVERAGE('Сырые ответы'!AL36,'Сырые ответы'!AN36,'Сырые ответы'!X36,'Сырые ответы'!AE36,'Сырые ответы'!BG36))</f>
        <v/>
      </c>
    </row>
    <row r="39">
      <c r="A39">
        <f>'Сырые ответы'!B37</f>
        <v/>
      </c>
      <c r="B39">
        <f>'Сырые ответы'!C37</f>
        <v/>
      </c>
      <c r="C39">
        <f>'Сырые ответы'!BM37</f>
        <v/>
      </c>
      <c r="D39">
        <f>'Сырые ответы'!BN37</f>
        <v/>
      </c>
      <c r="E39">
        <f>IF(COUNT('Сырые ответы'!AL37,'Сырые ответы'!AN37,'Сырые ответы'!X37,'Сырые ответы'!AE37,'Сырые ответы'!BG37)=0,"",AVERAGE('Сырые ответы'!AL37,'Сырые ответы'!AN37,'Сырые ответы'!X37,'Сырые ответы'!AE37,'Сырые ответы'!BG37))</f>
        <v/>
      </c>
    </row>
    <row r="40">
      <c r="A40">
        <f>'Сырые ответы'!B38</f>
        <v/>
      </c>
      <c r="B40">
        <f>'Сырые ответы'!C38</f>
        <v/>
      </c>
      <c r="C40">
        <f>'Сырые ответы'!BM38</f>
        <v/>
      </c>
      <c r="D40">
        <f>'Сырые ответы'!BN38</f>
        <v/>
      </c>
      <c r="E40">
        <f>IF(COUNT('Сырые ответы'!AL38,'Сырые ответы'!AN38,'Сырые ответы'!X38,'Сырые ответы'!AE38,'Сырые ответы'!BG38)=0,"",AVERAGE('Сырые ответы'!AL38,'Сырые ответы'!AN38,'Сырые ответы'!X38,'Сырые ответы'!AE38,'Сырые ответы'!BG38))</f>
        <v/>
      </c>
    </row>
    <row r="41">
      <c r="A41">
        <f>'Сырые ответы'!B39</f>
        <v/>
      </c>
      <c r="B41">
        <f>'Сырые ответы'!C39</f>
        <v/>
      </c>
      <c r="C41">
        <f>'Сырые ответы'!BM39</f>
        <v/>
      </c>
      <c r="D41">
        <f>'Сырые ответы'!BN39</f>
        <v/>
      </c>
      <c r="E41">
        <f>IF(COUNT('Сырые ответы'!AL39,'Сырые ответы'!AN39,'Сырые ответы'!X39,'Сырые ответы'!AE39,'Сырые ответы'!BG39)=0,"",AVERAGE('Сырые ответы'!AL39,'Сырые ответы'!AN39,'Сырые ответы'!X39,'Сырые ответы'!AE39,'Сырые ответы'!BG39))</f>
        <v/>
      </c>
    </row>
    <row r="42">
      <c r="A42">
        <f>'Сырые ответы'!B40</f>
        <v/>
      </c>
      <c r="B42">
        <f>'Сырые ответы'!C40</f>
        <v/>
      </c>
      <c r="C42">
        <f>'Сырые ответы'!BM40</f>
        <v/>
      </c>
      <c r="D42">
        <f>'Сырые ответы'!BN40</f>
        <v/>
      </c>
      <c r="E42">
        <f>IF(COUNT('Сырые ответы'!AL40,'Сырые ответы'!AN40,'Сырые ответы'!X40,'Сырые ответы'!AE40,'Сырые ответы'!BG40)=0,"",AVERAGE('Сырые ответы'!AL40,'Сырые ответы'!AN40,'Сырые ответы'!X40,'Сырые ответы'!AE40,'Сырые ответы'!BG40))</f>
        <v/>
      </c>
    </row>
    <row r="43">
      <c r="A43">
        <f>'Сырые ответы'!B41</f>
        <v/>
      </c>
      <c r="B43">
        <f>'Сырые ответы'!C41</f>
        <v/>
      </c>
      <c r="C43">
        <f>'Сырые ответы'!BM41</f>
        <v/>
      </c>
      <c r="D43">
        <f>'Сырые ответы'!BN41</f>
        <v/>
      </c>
      <c r="E43">
        <f>IF(COUNT('Сырые ответы'!AL41,'Сырые ответы'!AN41,'Сырые ответы'!X41,'Сырые ответы'!AE41,'Сырые ответы'!BG41)=0,"",AVERAGE('Сырые ответы'!AL41,'Сырые ответы'!AN41,'Сырые ответы'!X41,'Сырые ответы'!AE41,'Сырые ответы'!BG41))</f>
        <v/>
      </c>
    </row>
    <row r="44">
      <c r="A44">
        <f>'Сырые ответы'!B42</f>
        <v/>
      </c>
      <c r="B44">
        <f>'Сырые ответы'!C42</f>
        <v/>
      </c>
      <c r="C44">
        <f>'Сырые ответы'!BM42</f>
        <v/>
      </c>
      <c r="D44">
        <f>'Сырые ответы'!BN42</f>
        <v/>
      </c>
      <c r="E44">
        <f>IF(COUNT('Сырые ответы'!AL42,'Сырые ответы'!AN42,'Сырые ответы'!X42,'Сырые ответы'!AE42,'Сырые ответы'!BG42)=0,"",AVERAGE('Сырые ответы'!AL42,'Сырые ответы'!AN42,'Сырые ответы'!X42,'Сырые ответы'!AE42,'Сырые ответы'!BG42))</f>
        <v/>
      </c>
    </row>
    <row r="45">
      <c r="A45">
        <f>'Сырые ответы'!B43</f>
        <v/>
      </c>
      <c r="B45">
        <f>'Сырые ответы'!C43</f>
        <v/>
      </c>
      <c r="C45">
        <f>'Сырые ответы'!BM43</f>
        <v/>
      </c>
      <c r="D45">
        <f>'Сырые ответы'!BN43</f>
        <v/>
      </c>
      <c r="E45">
        <f>IF(COUNT('Сырые ответы'!AL43,'Сырые ответы'!AN43,'Сырые ответы'!X43,'Сырые ответы'!AE43,'Сырые ответы'!BG43)=0,"",AVERAGE('Сырые ответы'!AL43,'Сырые ответы'!AN43,'Сырые ответы'!X43,'Сырые ответы'!AE43,'Сырые ответы'!BG43))</f>
        <v/>
      </c>
    </row>
    <row r="46">
      <c r="A46">
        <f>'Сырые ответы'!B44</f>
        <v/>
      </c>
      <c r="B46">
        <f>'Сырые ответы'!C44</f>
        <v/>
      </c>
      <c r="C46">
        <f>'Сырые ответы'!BM44</f>
        <v/>
      </c>
      <c r="D46">
        <f>'Сырые ответы'!BN44</f>
        <v/>
      </c>
      <c r="E46">
        <f>IF(COUNT('Сырые ответы'!AL44,'Сырые ответы'!AN44,'Сырые ответы'!X44,'Сырые ответы'!AE44,'Сырые ответы'!BG44)=0,"",AVERAGE('Сырые ответы'!AL44,'Сырые ответы'!AN44,'Сырые ответы'!X44,'Сырые ответы'!AE44,'Сырые ответы'!BG44))</f>
        <v/>
      </c>
    </row>
    <row r="47">
      <c r="A47">
        <f>'Сырые ответы'!B45</f>
        <v/>
      </c>
      <c r="B47">
        <f>'Сырые ответы'!C45</f>
        <v/>
      </c>
      <c r="C47">
        <f>'Сырые ответы'!BM45</f>
        <v/>
      </c>
      <c r="D47">
        <f>'Сырые ответы'!BN45</f>
        <v/>
      </c>
      <c r="E47">
        <f>IF(COUNT('Сырые ответы'!AL45,'Сырые ответы'!AN45,'Сырые ответы'!X45,'Сырые ответы'!AE45,'Сырые ответы'!BG45)=0,"",AVERAGE('Сырые ответы'!AL45,'Сырые ответы'!AN45,'Сырые ответы'!X45,'Сырые ответы'!AE45,'Сырые ответы'!BG45))</f>
        <v/>
      </c>
    </row>
    <row r="48">
      <c r="A48">
        <f>'Сырые ответы'!B46</f>
        <v/>
      </c>
      <c r="B48">
        <f>'Сырые ответы'!C46</f>
        <v/>
      </c>
      <c r="C48">
        <f>'Сырые ответы'!BM46</f>
        <v/>
      </c>
      <c r="D48">
        <f>'Сырые ответы'!BN46</f>
        <v/>
      </c>
      <c r="E48">
        <f>IF(COUNT('Сырые ответы'!AL46,'Сырые ответы'!AN46,'Сырые ответы'!X46,'Сырые ответы'!AE46,'Сырые ответы'!BG46)=0,"",AVERAGE('Сырые ответы'!AL46,'Сырые ответы'!AN46,'Сырые ответы'!X46,'Сырые ответы'!AE46,'Сырые ответы'!BG46))</f>
        <v/>
      </c>
    </row>
    <row r="49">
      <c r="A49">
        <f>'Сырые ответы'!B47</f>
        <v/>
      </c>
      <c r="B49">
        <f>'Сырые ответы'!C47</f>
        <v/>
      </c>
      <c r="C49">
        <f>'Сырые ответы'!BM47</f>
        <v/>
      </c>
      <c r="D49">
        <f>'Сырые ответы'!BN47</f>
        <v/>
      </c>
      <c r="E49">
        <f>IF(COUNT('Сырые ответы'!AL47,'Сырые ответы'!AN47,'Сырые ответы'!X47,'Сырые ответы'!AE47,'Сырые ответы'!BG47)=0,"",AVERAGE('Сырые ответы'!AL47,'Сырые ответы'!AN47,'Сырые ответы'!X47,'Сырые ответы'!AE47,'Сырые ответы'!BG47))</f>
        <v/>
      </c>
    </row>
    <row r="50">
      <c r="A50">
        <f>'Сырые ответы'!B48</f>
        <v/>
      </c>
      <c r="B50">
        <f>'Сырые ответы'!C48</f>
        <v/>
      </c>
      <c r="C50">
        <f>'Сырые ответы'!BM48</f>
        <v/>
      </c>
      <c r="D50">
        <f>'Сырые ответы'!BN48</f>
        <v/>
      </c>
      <c r="E50">
        <f>IF(COUNT('Сырые ответы'!AL48,'Сырые ответы'!AN48,'Сырые ответы'!X48,'Сырые ответы'!AE48,'Сырые ответы'!BG48)=0,"",AVERAGE('Сырые ответы'!AL48,'Сырые ответы'!AN48,'Сырые ответы'!X48,'Сырые ответы'!AE48,'Сырые ответы'!BG48))</f>
        <v/>
      </c>
    </row>
    <row r="51">
      <c r="A51">
        <f>'Сырые ответы'!B49</f>
        <v/>
      </c>
      <c r="B51">
        <f>'Сырые ответы'!C49</f>
        <v/>
      </c>
      <c r="C51">
        <f>'Сырые ответы'!BM49</f>
        <v/>
      </c>
      <c r="D51">
        <f>'Сырые ответы'!BN49</f>
        <v/>
      </c>
      <c r="E51">
        <f>IF(COUNT('Сырые ответы'!AL49,'Сырые ответы'!AN49,'Сырые ответы'!X49,'Сырые ответы'!AE49,'Сырые ответы'!BG49)=0,"",AVERAGE('Сырые ответы'!AL49,'Сырые ответы'!AN49,'Сырые ответы'!X49,'Сырые ответы'!AE49,'Сырые ответы'!BG49))</f>
        <v/>
      </c>
    </row>
    <row r="52">
      <c r="A52">
        <f>'Сырые ответы'!B50</f>
        <v/>
      </c>
      <c r="B52">
        <f>'Сырые ответы'!C50</f>
        <v/>
      </c>
      <c r="C52">
        <f>'Сырые ответы'!BM50</f>
        <v/>
      </c>
      <c r="D52">
        <f>'Сырые ответы'!BN50</f>
        <v/>
      </c>
      <c r="E52">
        <f>IF(COUNT('Сырые ответы'!AL50,'Сырые ответы'!AN50,'Сырые ответы'!X50,'Сырые ответы'!AE50,'Сырые ответы'!BG50)=0,"",AVERAGE('Сырые ответы'!AL50,'Сырые ответы'!AN50,'Сырые ответы'!X50,'Сырые ответы'!AE50,'Сырые ответы'!BG50))</f>
        <v/>
      </c>
    </row>
    <row r="53">
      <c r="A53">
        <f>'Сырые ответы'!B51</f>
        <v/>
      </c>
      <c r="B53">
        <f>'Сырые ответы'!C51</f>
        <v/>
      </c>
      <c r="C53">
        <f>'Сырые ответы'!BM51</f>
        <v/>
      </c>
      <c r="D53">
        <f>'Сырые ответы'!BN51</f>
        <v/>
      </c>
      <c r="E53">
        <f>IF(COUNT('Сырые ответы'!AL51,'Сырые ответы'!AN51,'Сырые ответы'!X51,'Сырые ответы'!AE51,'Сырые ответы'!BG51)=0,"",AVERAGE('Сырые ответы'!AL51,'Сырые ответы'!AN51,'Сырые ответы'!X51,'Сырые ответы'!AE51,'Сырые ответы'!BG51))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2026-08-19T05:58:00Z</dcterms:created>
  <dcterms:modified xmlns:dcterms="http://purl.org/dc/terms/" xmlns:xsi="http://www.w3.org/2001/XMLSchema-instance" xsi:type="dcterms:W3CDTF">2026-08-19T05:58:00Z</dcterms:modified>
</cp:coreProperties>
</file>